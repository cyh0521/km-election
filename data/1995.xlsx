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05" yWindow="-105" windowWidth="23250" windowHeight="12570"/>
  </bookViews>
  <sheets>
    <sheet name="工作表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1" i="3" l="1"/>
  <c r="F176" i="3"/>
  <c r="F171" i="3"/>
  <c r="F166" i="3"/>
  <c r="F165" i="3"/>
  <c r="F164" i="3"/>
  <c r="F161" i="3"/>
  <c r="F160" i="3"/>
  <c r="F156" i="3"/>
  <c r="F151" i="3"/>
  <c r="F146" i="3"/>
  <c r="F141" i="3"/>
  <c r="F136" i="3"/>
  <c r="F131" i="3"/>
  <c r="F126" i="3"/>
  <c r="F121" i="3"/>
  <c r="F116" i="3"/>
  <c r="F111" i="3"/>
  <c r="F106" i="3"/>
  <c r="F105" i="3"/>
  <c r="F101" i="3"/>
  <c r="F91" i="3"/>
  <c r="F81" i="3"/>
  <c r="F71" i="3"/>
  <c r="F61" i="3"/>
  <c r="F51" i="3"/>
  <c r="F41" i="3"/>
  <c r="F31" i="3"/>
  <c r="F21" i="3"/>
  <c r="F16" i="3"/>
  <c r="F11" i="3"/>
  <c r="F7" i="3"/>
  <c r="F8" i="3"/>
  <c r="F9" i="3"/>
  <c r="F10" i="3"/>
  <c r="F12" i="3"/>
  <c r="F13" i="3"/>
  <c r="F14" i="3"/>
  <c r="F15" i="3"/>
  <c r="F17" i="3"/>
  <c r="F18" i="3"/>
  <c r="F19" i="3"/>
  <c r="F20" i="3"/>
  <c r="F27" i="3"/>
  <c r="F28" i="3"/>
  <c r="F29" i="3"/>
  <c r="F30" i="3"/>
  <c r="F37" i="3"/>
  <c r="F38" i="3"/>
  <c r="F39" i="3"/>
  <c r="F40" i="3"/>
  <c r="F47" i="3"/>
  <c r="F48" i="3"/>
  <c r="F49" i="3"/>
  <c r="F50" i="3"/>
  <c r="F57" i="3"/>
  <c r="F58" i="3"/>
  <c r="F59" i="3"/>
  <c r="F60" i="3"/>
  <c r="F67" i="3"/>
  <c r="F68" i="3"/>
  <c r="F69" i="3"/>
  <c r="F70" i="3"/>
  <c r="F77" i="3"/>
  <c r="F78" i="3"/>
  <c r="F79" i="3"/>
  <c r="F80" i="3"/>
  <c r="F87" i="3"/>
  <c r="F88" i="3"/>
  <c r="F89" i="3"/>
  <c r="F90" i="3"/>
  <c r="F97" i="3"/>
  <c r="F98" i="3"/>
  <c r="F99" i="3"/>
  <c r="F100" i="3"/>
  <c r="F102" i="3"/>
  <c r="F103" i="3"/>
  <c r="F104" i="3"/>
  <c r="F107" i="3"/>
  <c r="F108" i="3"/>
  <c r="F109" i="3"/>
  <c r="F110" i="3"/>
  <c r="F112" i="3"/>
  <c r="F113" i="3"/>
  <c r="F114" i="3"/>
  <c r="F115" i="3"/>
  <c r="F117" i="3"/>
  <c r="F118" i="3"/>
  <c r="F119" i="3"/>
  <c r="F120" i="3"/>
  <c r="F122" i="3"/>
  <c r="F123" i="3"/>
  <c r="F124" i="3"/>
  <c r="F125" i="3"/>
  <c r="F127" i="3"/>
  <c r="F128" i="3"/>
  <c r="F129" i="3"/>
  <c r="F130" i="3"/>
  <c r="F132" i="3"/>
  <c r="F133" i="3"/>
  <c r="F134" i="3"/>
  <c r="F135" i="3"/>
  <c r="F137" i="3"/>
  <c r="F138" i="3"/>
  <c r="F139" i="3"/>
  <c r="F140" i="3"/>
  <c r="F142" i="3"/>
  <c r="F143" i="3"/>
  <c r="F144" i="3"/>
  <c r="F145" i="3"/>
  <c r="F147" i="3"/>
  <c r="F148" i="3"/>
  <c r="F149" i="3"/>
  <c r="F150" i="3"/>
  <c r="F152" i="3"/>
  <c r="F153" i="3"/>
  <c r="F154" i="3"/>
  <c r="F155" i="3"/>
  <c r="F157" i="3"/>
  <c r="F158" i="3"/>
  <c r="F159" i="3"/>
  <c r="F162" i="3"/>
  <c r="F163" i="3"/>
  <c r="F167" i="3"/>
  <c r="F168" i="3"/>
  <c r="F169" i="3"/>
  <c r="F170" i="3"/>
  <c r="F172" i="3"/>
  <c r="F173" i="3"/>
  <c r="F174" i="3"/>
  <c r="F175" i="3"/>
  <c r="F177" i="3"/>
  <c r="F178" i="3"/>
  <c r="F179" i="3"/>
  <c r="F180" i="3"/>
  <c r="F96" i="3"/>
  <c r="F92" i="3"/>
  <c r="F86" i="3"/>
  <c r="F85" i="3"/>
  <c r="F82" i="3"/>
  <c r="F76" i="3"/>
  <c r="F72" i="3"/>
  <c r="F66" i="3"/>
  <c r="F62" i="3"/>
  <c r="F56" i="3"/>
  <c r="F54" i="3"/>
  <c r="F52" i="3"/>
  <c r="F46" i="3"/>
  <c r="F42" i="3"/>
  <c r="F36" i="3"/>
  <c r="F32" i="3"/>
  <c r="F26" i="3"/>
  <c r="F22" i="3"/>
  <c r="F6" i="3"/>
  <c r="F2" i="3"/>
  <c r="F3" i="3"/>
  <c r="F4" i="3"/>
  <c r="F5" i="3"/>
  <c r="F23" i="3"/>
  <c r="F24" i="3"/>
  <c r="F25" i="3"/>
  <c r="F33" i="3"/>
  <c r="F34" i="3"/>
  <c r="F35" i="3"/>
  <c r="F43" i="3"/>
  <c r="F44" i="3"/>
  <c r="F45" i="3"/>
  <c r="F53" i="3"/>
  <c r="F55" i="3"/>
  <c r="F63" i="3"/>
  <c r="F64" i="3"/>
  <c r="F65" i="3"/>
  <c r="F73" i="3"/>
  <c r="F74" i="3"/>
  <c r="F75" i="3"/>
  <c r="F83" i="3"/>
  <c r="F84" i="3"/>
  <c r="F93" i="3"/>
  <c r="F94" i="3"/>
  <c r="F95" i="3"/>
</calcChain>
</file>

<file path=xl/sharedStrings.xml><?xml version="1.0" encoding="utf-8"?>
<sst xmlns="http://schemas.openxmlformats.org/spreadsheetml/2006/main" count="546" uniqueCount="53">
  <si>
    <t>得票率</t>
  </si>
  <si>
    <t>得票數</t>
  </si>
  <si>
    <t>號次</t>
  </si>
  <si>
    <t>姓名</t>
  </si>
  <si>
    <t>東門里</t>
  </si>
  <si>
    <t>西門里</t>
  </si>
  <si>
    <t>南門里</t>
  </si>
  <si>
    <t>北門里</t>
  </si>
  <si>
    <t>古城里</t>
  </si>
  <si>
    <t>金水里</t>
  </si>
  <si>
    <t>珠沙里</t>
  </si>
  <si>
    <t>賢庵里</t>
  </si>
  <si>
    <t>古寧村</t>
  </si>
  <si>
    <t>安美村</t>
  </si>
  <si>
    <t>后盤村</t>
  </si>
  <si>
    <t>湖埔村</t>
  </si>
  <si>
    <t>榜林村</t>
  </si>
  <si>
    <t>盤山村</t>
  </si>
  <si>
    <t>新市里</t>
  </si>
  <si>
    <t>山外里</t>
  </si>
  <si>
    <t>正義里</t>
  </si>
  <si>
    <t>料羅里</t>
  </si>
  <si>
    <t>瓊林里</t>
  </si>
  <si>
    <t>新湖里</t>
  </si>
  <si>
    <t>溪湖里</t>
  </si>
  <si>
    <t>蓮庵里</t>
  </si>
  <si>
    <t>汶沙里</t>
  </si>
  <si>
    <t>三山里</t>
  </si>
  <si>
    <t>大洋里</t>
  </si>
  <si>
    <t>光前里</t>
  </si>
  <si>
    <t>何斗里</t>
  </si>
  <si>
    <t>西園里</t>
  </si>
  <si>
    <t>官嶼里</t>
  </si>
  <si>
    <t>浦山里</t>
  </si>
  <si>
    <t>上岐村</t>
  </si>
  <si>
    <t>上林村</t>
  </si>
  <si>
    <t>西口村</t>
  </si>
  <si>
    <t>林湖村</t>
  </si>
  <si>
    <t>黃埔村</t>
  </si>
  <si>
    <t>大坵村</t>
  </si>
  <si>
    <t>鄉鎮</t>
    <phoneticPr fontId="1" type="noConversion"/>
  </si>
  <si>
    <t>村里</t>
    <phoneticPr fontId="1" type="noConversion"/>
  </si>
  <si>
    <t>金城鎮</t>
    <phoneticPr fontId="1" type="noConversion"/>
  </si>
  <si>
    <t>金寧鄉</t>
    <phoneticPr fontId="1" type="noConversion"/>
  </si>
  <si>
    <t>金沙鎮</t>
    <phoneticPr fontId="1" type="noConversion"/>
  </si>
  <si>
    <t>金湖鎮</t>
    <phoneticPr fontId="1" type="noConversion"/>
  </si>
  <si>
    <t>烈嶼鄉</t>
    <phoneticPr fontId="1" type="noConversion"/>
  </si>
  <si>
    <t>烏坵鄉</t>
    <phoneticPr fontId="1" type="noConversion"/>
  </si>
  <si>
    <t>陳允火</t>
  </si>
  <si>
    <t>陳清寶</t>
  </si>
  <si>
    <t>吳成典</t>
  </si>
  <si>
    <t>張天欽</t>
  </si>
  <si>
    <t>許水增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</si>
</sst>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1"/>
      <name val="微軟正黑體"/>
      <family val="2"/>
      <charset val="136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ont="0" applyFill="0" applyBorder="0" applyAlignment="0" applyProtection="0"/>
  </cellStyleXfs>
  <cellXfs count="9">
    <xf numFmtId="0" fontId="0" fillId="0" borderId="0" xfId="0">
      <alignment vertical="center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right" vertical="center" wrapText="1"/>
    </xf>
    <xf numFmtId="10" fontId="3" fillId="0" borderId="1" xfId="1" applyNumberFormat="1" applyFont="1" applyFill="1" applyBorder="1" applyAlignment="1">
      <alignment horizontal="right" vertical="center" wrapText="1"/>
    </xf>
    <xf numFmtId="0" fontId="4" fillId="0" borderId="0" xfId="1" applyNumberFormat="1" applyFont="1" applyFill="1" applyBorder="1" applyAlignment="1"/>
    <xf numFmtId="0" fontId="3" fillId="0" borderId="0" xfId="1" applyNumberFormat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0" xfId="1" applyNumberFormat="1" applyFont="1" applyFill="1" applyBorder="1" applyAlignment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EEFCFB"/>
      <color rgb="FFC3F4F3"/>
      <color rgb="FF8FE9E7"/>
      <color rgb="FF28C8C8"/>
      <color rgb="FF1D928F"/>
      <color rgb="FFE2FAF9"/>
      <color rgb="FF009999"/>
      <color rgb="FFFF99CC"/>
      <color rgb="FF85E9E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tabSelected="1" zoomScaleNormal="100" workbookViewId="0">
      <selection activeCell="A2" sqref="A2"/>
    </sheetView>
  </sheetViews>
  <sheetFormatPr defaultColWidth="9" defaultRowHeight="16.5" customHeight="1" x14ac:dyDescent="0.25"/>
  <cols>
    <col min="1" max="2" width="9.125" style="5" bestFit="1" customWidth="1"/>
    <col min="3" max="3" width="9" style="5"/>
    <col min="4" max="5" width="9.125" style="8" bestFit="1" customWidth="1"/>
    <col min="6" max="6" width="10.125" style="8" bestFit="1" customWidth="1"/>
    <col min="7" max="16384" width="9" style="4"/>
  </cols>
  <sheetData>
    <row r="1" spans="1:6" ht="16.5" customHeight="1" x14ac:dyDescent="0.2">
      <c r="A1" s="1" t="s">
        <v>40</v>
      </c>
      <c r="B1" s="1" t="s">
        <v>41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6.5" customHeight="1" x14ac:dyDescent="0.2">
      <c r="A2" s="1" t="s">
        <v>42</v>
      </c>
      <c r="B2" s="1" t="s">
        <v>4</v>
      </c>
      <c r="C2" s="1" t="s">
        <v>48</v>
      </c>
      <c r="D2" s="1">
        <v>1</v>
      </c>
      <c r="E2" s="2">
        <v>97</v>
      </c>
      <c r="F2" s="3">
        <f>E2/SUM(E2:E6)</f>
        <v>0.10253699788583509</v>
      </c>
    </row>
    <row r="3" spans="1:6" ht="16.5" customHeight="1" x14ac:dyDescent="0.2">
      <c r="A3" s="1" t="s">
        <v>42</v>
      </c>
      <c r="B3" s="1" t="s">
        <v>4</v>
      </c>
      <c r="C3" s="1" t="s">
        <v>49</v>
      </c>
      <c r="D3" s="1">
        <v>2</v>
      </c>
      <c r="E3" s="2">
        <v>434</v>
      </c>
      <c r="F3" s="3">
        <f>E3/SUM(E2:E6)</f>
        <v>0.45877378435517968</v>
      </c>
    </row>
    <row r="4" spans="1:6" ht="16.5" customHeight="1" x14ac:dyDescent="0.2">
      <c r="A4" s="1" t="s">
        <v>42</v>
      </c>
      <c r="B4" s="1" t="s">
        <v>4</v>
      </c>
      <c r="C4" s="1" t="s">
        <v>50</v>
      </c>
      <c r="D4" s="1">
        <v>3</v>
      </c>
      <c r="E4" s="2">
        <v>342</v>
      </c>
      <c r="F4" s="3">
        <f>E4/SUM(E2:E6)</f>
        <v>0.36152219873150104</v>
      </c>
    </row>
    <row r="5" spans="1:6" ht="16.5" customHeight="1" x14ac:dyDescent="0.2">
      <c r="A5" s="1" t="s">
        <v>42</v>
      </c>
      <c r="B5" s="1" t="s">
        <v>4</v>
      </c>
      <c r="C5" s="1" t="s">
        <v>51</v>
      </c>
      <c r="D5" s="1">
        <v>4</v>
      </c>
      <c r="E5" s="2">
        <v>50</v>
      </c>
      <c r="F5" s="3">
        <f>E5/SUM(E2:E6)</f>
        <v>5.2854122621564484E-2</v>
      </c>
    </row>
    <row r="6" spans="1:6" ht="16.5" customHeight="1" x14ac:dyDescent="0.2">
      <c r="A6" s="1" t="s">
        <v>42</v>
      </c>
      <c r="B6" s="1" t="s">
        <v>4</v>
      </c>
      <c r="C6" s="1" t="s">
        <v>52</v>
      </c>
      <c r="D6" s="1">
        <v>5</v>
      </c>
      <c r="E6" s="2">
        <v>23</v>
      </c>
      <c r="F6" s="3">
        <f>E6/SUM(E2:E6)</f>
        <v>2.4312896405919663E-2</v>
      </c>
    </row>
    <row r="7" spans="1:6" ht="16.5" customHeight="1" x14ac:dyDescent="0.2">
      <c r="A7" s="1" t="s">
        <v>42</v>
      </c>
      <c r="B7" s="1" t="s">
        <v>5</v>
      </c>
      <c r="C7" s="1" t="s">
        <v>48</v>
      </c>
      <c r="D7" s="1">
        <v>1</v>
      </c>
      <c r="E7" s="2">
        <v>165</v>
      </c>
      <c r="F7" s="3">
        <f>E7/SUM(E7:E11)</f>
        <v>9.90990990990991E-2</v>
      </c>
    </row>
    <row r="8" spans="1:6" ht="16.5" customHeight="1" x14ac:dyDescent="0.2">
      <c r="A8" s="1" t="s">
        <v>42</v>
      </c>
      <c r="B8" s="1" t="s">
        <v>5</v>
      </c>
      <c r="C8" s="1" t="s">
        <v>49</v>
      </c>
      <c r="D8" s="1">
        <v>2</v>
      </c>
      <c r="E8" s="2">
        <v>725</v>
      </c>
      <c r="F8" s="3">
        <f>E8/SUM(E7:E11)</f>
        <v>0.43543543543543545</v>
      </c>
    </row>
    <row r="9" spans="1:6" ht="16.5" customHeight="1" x14ac:dyDescent="0.2">
      <c r="A9" s="1" t="s">
        <v>42</v>
      </c>
      <c r="B9" s="1" t="s">
        <v>5</v>
      </c>
      <c r="C9" s="1" t="s">
        <v>50</v>
      </c>
      <c r="D9" s="1">
        <v>3</v>
      </c>
      <c r="E9" s="2">
        <v>690</v>
      </c>
      <c r="F9" s="3">
        <f>E9/SUM(E7:E11)</f>
        <v>0.4144144144144144</v>
      </c>
    </row>
    <row r="10" spans="1:6" ht="16.5" customHeight="1" x14ac:dyDescent="0.2">
      <c r="A10" s="1" t="s">
        <v>42</v>
      </c>
      <c r="B10" s="1" t="s">
        <v>5</v>
      </c>
      <c r="C10" s="1" t="s">
        <v>51</v>
      </c>
      <c r="D10" s="1">
        <v>4</v>
      </c>
      <c r="E10" s="2">
        <v>62</v>
      </c>
      <c r="F10" s="3">
        <f>E10/SUM(E7:E11)</f>
        <v>3.7237237237237236E-2</v>
      </c>
    </row>
    <row r="11" spans="1:6" ht="16.5" customHeight="1" x14ac:dyDescent="0.2">
      <c r="A11" s="1" t="s">
        <v>42</v>
      </c>
      <c r="B11" s="1" t="s">
        <v>5</v>
      </c>
      <c r="C11" s="1" t="s">
        <v>52</v>
      </c>
      <c r="D11" s="1">
        <v>5</v>
      </c>
      <c r="E11" s="2">
        <v>23</v>
      </c>
      <c r="F11" s="3">
        <f>E11/SUM(E7:E11)</f>
        <v>1.3813813813813814E-2</v>
      </c>
    </row>
    <row r="12" spans="1:6" ht="16.5" customHeight="1" x14ac:dyDescent="0.2">
      <c r="A12" s="1" t="s">
        <v>42</v>
      </c>
      <c r="B12" s="1" t="s">
        <v>6</v>
      </c>
      <c r="C12" s="1" t="s">
        <v>48</v>
      </c>
      <c r="D12" s="1">
        <v>1</v>
      </c>
      <c r="E12" s="2">
        <v>120</v>
      </c>
      <c r="F12" s="3">
        <f>E12/SUM(E12:E16)</f>
        <v>9.2735703245749618E-2</v>
      </c>
    </row>
    <row r="13" spans="1:6" ht="16.5" customHeight="1" x14ac:dyDescent="0.2">
      <c r="A13" s="1" t="s">
        <v>42</v>
      </c>
      <c r="B13" s="1" t="s">
        <v>6</v>
      </c>
      <c r="C13" s="1" t="s">
        <v>49</v>
      </c>
      <c r="D13" s="1">
        <v>2</v>
      </c>
      <c r="E13" s="2">
        <v>661</v>
      </c>
      <c r="F13" s="3">
        <f>E13/SUM(E12:E16)</f>
        <v>0.51081916537867078</v>
      </c>
    </row>
    <row r="14" spans="1:6" ht="16.5" customHeight="1" x14ac:dyDescent="0.2">
      <c r="A14" s="1" t="s">
        <v>42</v>
      </c>
      <c r="B14" s="1" t="s">
        <v>6</v>
      </c>
      <c r="C14" s="1" t="s">
        <v>50</v>
      </c>
      <c r="D14" s="1">
        <v>3</v>
      </c>
      <c r="E14" s="2">
        <v>430</v>
      </c>
      <c r="F14" s="3">
        <f>E14/SUM(E12:E16)</f>
        <v>0.33230293663060279</v>
      </c>
    </row>
    <row r="15" spans="1:6" ht="16.5" customHeight="1" x14ac:dyDescent="0.2">
      <c r="A15" s="1" t="s">
        <v>42</v>
      </c>
      <c r="B15" s="1" t="s">
        <v>6</v>
      </c>
      <c r="C15" s="1" t="s">
        <v>51</v>
      </c>
      <c r="D15" s="1">
        <v>4</v>
      </c>
      <c r="E15" s="2">
        <v>50</v>
      </c>
      <c r="F15" s="3">
        <f>E15/SUM(E12:E16)</f>
        <v>3.8639876352395672E-2</v>
      </c>
    </row>
    <row r="16" spans="1:6" ht="16.5" customHeight="1" x14ac:dyDescent="0.2">
      <c r="A16" s="1" t="s">
        <v>42</v>
      </c>
      <c r="B16" s="1" t="s">
        <v>6</v>
      </c>
      <c r="C16" s="1" t="s">
        <v>52</v>
      </c>
      <c r="D16" s="1">
        <v>5</v>
      </c>
      <c r="E16" s="2">
        <v>33</v>
      </c>
      <c r="F16" s="3">
        <f>E16/SUM(E12:E16)</f>
        <v>2.5502318392581144E-2</v>
      </c>
    </row>
    <row r="17" spans="1:6" ht="16.5" customHeight="1" x14ac:dyDescent="0.2">
      <c r="A17" s="1" t="s">
        <v>42</v>
      </c>
      <c r="B17" s="1" t="s">
        <v>7</v>
      </c>
      <c r="C17" s="1" t="s">
        <v>48</v>
      </c>
      <c r="D17" s="1">
        <v>1</v>
      </c>
      <c r="E17" s="2">
        <v>72</v>
      </c>
      <c r="F17" s="3">
        <f>E17/SUM(E17:E21)</f>
        <v>8.4210526315789472E-2</v>
      </c>
    </row>
    <row r="18" spans="1:6" ht="16.5" customHeight="1" x14ac:dyDescent="0.2">
      <c r="A18" s="1" t="s">
        <v>42</v>
      </c>
      <c r="B18" s="1" t="s">
        <v>7</v>
      </c>
      <c r="C18" s="1" t="s">
        <v>49</v>
      </c>
      <c r="D18" s="1">
        <v>2</v>
      </c>
      <c r="E18" s="2">
        <v>331</v>
      </c>
      <c r="F18" s="3">
        <f>E18/SUM(E17:E21)</f>
        <v>0.38713450292397661</v>
      </c>
    </row>
    <row r="19" spans="1:6" ht="16.5" customHeight="1" x14ac:dyDescent="0.2">
      <c r="A19" s="1" t="s">
        <v>42</v>
      </c>
      <c r="B19" s="1" t="s">
        <v>7</v>
      </c>
      <c r="C19" s="1" t="s">
        <v>50</v>
      </c>
      <c r="D19" s="1">
        <v>3</v>
      </c>
      <c r="E19" s="2">
        <v>414</v>
      </c>
      <c r="F19" s="3">
        <f>E19/SUM(E17:E21)</f>
        <v>0.48421052631578948</v>
      </c>
    </row>
    <row r="20" spans="1:6" ht="16.5" customHeight="1" x14ac:dyDescent="0.2">
      <c r="A20" s="1" t="s">
        <v>42</v>
      </c>
      <c r="B20" s="1" t="s">
        <v>7</v>
      </c>
      <c r="C20" s="1" t="s">
        <v>51</v>
      </c>
      <c r="D20" s="1">
        <v>4</v>
      </c>
      <c r="E20" s="2">
        <v>26</v>
      </c>
      <c r="F20" s="3">
        <f>E20/SUM(E17:E21)</f>
        <v>3.0409356725146199E-2</v>
      </c>
    </row>
    <row r="21" spans="1:6" ht="16.5" customHeight="1" x14ac:dyDescent="0.2">
      <c r="A21" s="1" t="s">
        <v>42</v>
      </c>
      <c r="B21" s="1" t="s">
        <v>7</v>
      </c>
      <c r="C21" s="1" t="s">
        <v>52</v>
      </c>
      <c r="D21" s="1">
        <v>5</v>
      </c>
      <c r="E21" s="2">
        <v>12</v>
      </c>
      <c r="F21" s="3">
        <f>E21/SUM(E17:E21)</f>
        <v>1.4035087719298246E-2</v>
      </c>
    </row>
    <row r="22" spans="1:6" ht="16.5" customHeight="1" x14ac:dyDescent="0.2">
      <c r="A22" s="1" t="s">
        <v>42</v>
      </c>
      <c r="B22" s="1" t="s">
        <v>8</v>
      </c>
      <c r="C22" s="1" t="s">
        <v>48</v>
      </c>
      <c r="D22" s="1">
        <v>1</v>
      </c>
      <c r="E22" s="2">
        <v>37</v>
      </c>
      <c r="F22" s="3">
        <f>E22/SUM(E22:E26)</f>
        <v>5.3779069767441859E-2</v>
      </c>
    </row>
    <row r="23" spans="1:6" ht="16.5" customHeight="1" x14ac:dyDescent="0.2">
      <c r="A23" s="1" t="s">
        <v>42</v>
      </c>
      <c r="B23" s="1" t="s">
        <v>8</v>
      </c>
      <c r="C23" s="1" t="s">
        <v>49</v>
      </c>
      <c r="D23" s="1">
        <v>2</v>
      </c>
      <c r="E23" s="2">
        <v>487</v>
      </c>
      <c r="F23" s="3">
        <f>E23/SUM(E22:E26)</f>
        <v>0.70784883720930236</v>
      </c>
    </row>
    <row r="24" spans="1:6" ht="16.5" customHeight="1" x14ac:dyDescent="0.2">
      <c r="A24" s="1" t="s">
        <v>42</v>
      </c>
      <c r="B24" s="1" t="s">
        <v>8</v>
      </c>
      <c r="C24" s="1" t="s">
        <v>50</v>
      </c>
      <c r="D24" s="1">
        <v>3</v>
      </c>
      <c r="E24" s="2">
        <v>144</v>
      </c>
      <c r="F24" s="3">
        <f>E24/SUM(E22:E26)</f>
        <v>0.20930232558139536</v>
      </c>
    </row>
    <row r="25" spans="1:6" ht="16.5" customHeight="1" x14ac:dyDescent="0.2">
      <c r="A25" s="1" t="s">
        <v>42</v>
      </c>
      <c r="B25" s="1" t="s">
        <v>8</v>
      </c>
      <c r="C25" s="1" t="s">
        <v>51</v>
      </c>
      <c r="D25" s="1">
        <v>4</v>
      </c>
      <c r="E25" s="2">
        <v>13</v>
      </c>
      <c r="F25" s="3">
        <f>E25/SUM(E22:E26)</f>
        <v>1.8895348837209301E-2</v>
      </c>
    </row>
    <row r="26" spans="1:6" ht="16.5" customHeight="1" x14ac:dyDescent="0.2">
      <c r="A26" s="1" t="s">
        <v>42</v>
      </c>
      <c r="B26" s="1" t="s">
        <v>8</v>
      </c>
      <c r="C26" s="1" t="s">
        <v>52</v>
      </c>
      <c r="D26" s="1">
        <v>5</v>
      </c>
      <c r="E26" s="2">
        <v>7</v>
      </c>
      <c r="F26" s="3">
        <f>E26/SUM(E22:E26)</f>
        <v>1.0174418604651164E-2</v>
      </c>
    </row>
    <row r="27" spans="1:6" ht="16.5" customHeight="1" x14ac:dyDescent="0.2">
      <c r="A27" s="1" t="s">
        <v>42</v>
      </c>
      <c r="B27" s="1" t="s">
        <v>9</v>
      </c>
      <c r="C27" s="1" t="s">
        <v>48</v>
      </c>
      <c r="D27" s="1">
        <v>1</v>
      </c>
      <c r="E27" s="2">
        <v>15</v>
      </c>
      <c r="F27" s="3">
        <f>E27/SUM(E27:E31)</f>
        <v>3.9473684210526314E-2</v>
      </c>
    </row>
    <row r="28" spans="1:6" ht="16.5" customHeight="1" x14ac:dyDescent="0.2">
      <c r="A28" s="1" t="s">
        <v>42</v>
      </c>
      <c r="B28" s="1" t="s">
        <v>9</v>
      </c>
      <c r="C28" s="1" t="s">
        <v>49</v>
      </c>
      <c r="D28" s="1">
        <v>2</v>
      </c>
      <c r="E28" s="2">
        <v>254</v>
      </c>
      <c r="F28" s="3">
        <f>E28/SUM(E27:E31)</f>
        <v>0.66842105263157892</v>
      </c>
    </row>
    <row r="29" spans="1:6" ht="16.5" customHeight="1" x14ac:dyDescent="0.2">
      <c r="A29" s="1" t="s">
        <v>42</v>
      </c>
      <c r="B29" s="1" t="s">
        <v>9</v>
      </c>
      <c r="C29" s="1" t="s">
        <v>50</v>
      </c>
      <c r="D29" s="1">
        <v>3</v>
      </c>
      <c r="E29" s="2">
        <v>100</v>
      </c>
      <c r="F29" s="3">
        <f>E29/SUM(E27:E31)</f>
        <v>0.26315789473684209</v>
      </c>
    </row>
    <row r="30" spans="1:6" ht="16.5" customHeight="1" x14ac:dyDescent="0.2">
      <c r="A30" s="1" t="s">
        <v>42</v>
      </c>
      <c r="B30" s="1" t="s">
        <v>9</v>
      </c>
      <c r="C30" s="1" t="s">
        <v>51</v>
      </c>
      <c r="D30" s="1">
        <v>4</v>
      </c>
      <c r="E30" s="2">
        <v>7</v>
      </c>
      <c r="F30" s="3">
        <f>E30/SUM(E27:E31)</f>
        <v>1.8421052631578946E-2</v>
      </c>
    </row>
    <row r="31" spans="1:6" ht="16.5" customHeight="1" x14ac:dyDescent="0.2">
      <c r="A31" s="1" t="s">
        <v>42</v>
      </c>
      <c r="B31" s="1" t="s">
        <v>9</v>
      </c>
      <c r="C31" s="1" t="s">
        <v>52</v>
      </c>
      <c r="D31" s="1">
        <v>5</v>
      </c>
      <c r="E31" s="2">
        <v>4</v>
      </c>
      <c r="F31" s="3">
        <f>E31/SUM(E27:E31)</f>
        <v>1.0526315789473684E-2</v>
      </c>
    </row>
    <row r="32" spans="1:6" ht="16.5" customHeight="1" x14ac:dyDescent="0.2">
      <c r="A32" s="1" t="s">
        <v>42</v>
      </c>
      <c r="B32" s="1" t="s">
        <v>10</v>
      </c>
      <c r="C32" s="1" t="s">
        <v>48</v>
      </c>
      <c r="D32" s="1">
        <v>1</v>
      </c>
      <c r="E32" s="2">
        <v>34</v>
      </c>
      <c r="F32" s="3">
        <f>E32/SUM(E32:E36)</f>
        <v>0.11074918566775244</v>
      </c>
    </row>
    <row r="33" spans="1:6" ht="16.5" customHeight="1" x14ac:dyDescent="0.2">
      <c r="A33" s="1" t="s">
        <v>42</v>
      </c>
      <c r="B33" s="1" t="s">
        <v>10</v>
      </c>
      <c r="C33" s="1" t="s">
        <v>49</v>
      </c>
      <c r="D33" s="1">
        <v>2</v>
      </c>
      <c r="E33" s="2">
        <v>165</v>
      </c>
      <c r="F33" s="3">
        <f>E33/SUM(E32:E36)</f>
        <v>0.53745928338762217</v>
      </c>
    </row>
    <row r="34" spans="1:6" ht="16.5" customHeight="1" x14ac:dyDescent="0.2">
      <c r="A34" s="1" t="s">
        <v>42</v>
      </c>
      <c r="B34" s="1" t="s">
        <v>10</v>
      </c>
      <c r="C34" s="1" t="s">
        <v>50</v>
      </c>
      <c r="D34" s="1">
        <v>3</v>
      </c>
      <c r="E34" s="2">
        <v>96</v>
      </c>
      <c r="F34" s="3">
        <f>E34/SUM(E32:E36)</f>
        <v>0.31270358306188922</v>
      </c>
    </row>
    <row r="35" spans="1:6" ht="16.5" customHeight="1" x14ac:dyDescent="0.2">
      <c r="A35" s="1" t="s">
        <v>42</v>
      </c>
      <c r="B35" s="1" t="s">
        <v>10</v>
      </c>
      <c r="C35" s="1" t="s">
        <v>51</v>
      </c>
      <c r="D35" s="1">
        <v>4</v>
      </c>
      <c r="E35" s="2">
        <v>7</v>
      </c>
      <c r="F35" s="3">
        <f>E35/SUM(E32:E36)</f>
        <v>2.2801302931596091E-2</v>
      </c>
    </row>
    <row r="36" spans="1:6" ht="16.5" customHeight="1" x14ac:dyDescent="0.2">
      <c r="A36" s="1" t="s">
        <v>42</v>
      </c>
      <c r="B36" s="1" t="s">
        <v>10</v>
      </c>
      <c r="C36" s="1" t="s">
        <v>52</v>
      </c>
      <c r="D36" s="1">
        <v>5</v>
      </c>
      <c r="E36" s="2">
        <v>5</v>
      </c>
      <c r="F36" s="3">
        <f>E36/SUM(E32:E36)</f>
        <v>1.6286644951140065E-2</v>
      </c>
    </row>
    <row r="37" spans="1:6" ht="16.5" customHeight="1" x14ac:dyDescent="0.2">
      <c r="A37" s="1" t="s">
        <v>42</v>
      </c>
      <c r="B37" s="1" t="s">
        <v>11</v>
      </c>
      <c r="C37" s="1" t="s">
        <v>48</v>
      </c>
      <c r="D37" s="1">
        <v>1</v>
      </c>
      <c r="E37" s="2">
        <v>48</v>
      </c>
      <c r="F37" s="3">
        <f>E37/SUM(E37:E41)</f>
        <v>8.2051282051282051E-2</v>
      </c>
    </row>
    <row r="38" spans="1:6" ht="16.5" customHeight="1" x14ac:dyDescent="0.2">
      <c r="A38" s="1" t="s">
        <v>42</v>
      </c>
      <c r="B38" s="1" t="s">
        <v>11</v>
      </c>
      <c r="C38" s="1" t="s">
        <v>49</v>
      </c>
      <c r="D38" s="1">
        <v>2</v>
      </c>
      <c r="E38" s="2">
        <v>356</v>
      </c>
      <c r="F38" s="3">
        <f>E38/SUM(E37:E41)</f>
        <v>0.60854700854700849</v>
      </c>
    </row>
    <row r="39" spans="1:6" ht="16.5" customHeight="1" x14ac:dyDescent="0.2">
      <c r="A39" s="1" t="s">
        <v>42</v>
      </c>
      <c r="B39" s="1" t="s">
        <v>11</v>
      </c>
      <c r="C39" s="1" t="s">
        <v>50</v>
      </c>
      <c r="D39" s="1">
        <v>3</v>
      </c>
      <c r="E39" s="2">
        <v>159</v>
      </c>
      <c r="F39" s="3">
        <f>E39/SUM(E37:E41)</f>
        <v>0.27179487179487177</v>
      </c>
    </row>
    <row r="40" spans="1:6" ht="16.5" customHeight="1" x14ac:dyDescent="0.2">
      <c r="A40" s="1" t="s">
        <v>42</v>
      </c>
      <c r="B40" s="1" t="s">
        <v>11</v>
      </c>
      <c r="C40" s="1" t="s">
        <v>51</v>
      </c>
      <c r="D40" s="1">
        <v>4</v>
      </c>
      <c r="E40" s="2">
        <v>12</v>
      </c>
      <c r="F40" s="3">
        <f>E40/SUM(E37:E41)</f>
        <v>2.0512820512820513E-2</v>
      </c>
    </row>
    <row r="41" spans="1:6" ht="16.5" customHeight="1" x14ac:dyDescent="0.2">
      <c r="A41" s="1" t="s">
        <v>42</v>
      </c>
      <c r="B41" s="1" t="s">
        <v>11</v>
      </c>
      <c r="C41" s="1" t="s">
        <v>52</v>
      </c>
      <c r="D41" s="1">
        <v>5</v>
      </c>
      <c r="E41" s="2">
        <v>10</v>
      </c>
      <c r="F41" s="3">
        <f>E41/SUM(E37:E41)</f>
        <v>1.7094017094017096E-2</v>
      </c>
    </row>
    <row r="42" spans="1:6" ht="16.5" customHeight="1" x14ac:dyDescent="0.2">
      <c r="A42" s="1" t="s">
        <v>43</v>
      </c>
      <c r="B42" s="1" t="s">
        <v>12</v>
      </c>
      <c r="C42" s="1" t="s">
        <v>48</v>
      </c>
      <c r="D42" s="1">
        <v>1</v>
      </c>
      <c r="E42" s="2">
        <v>98</v>
      </c>
      <c r="F42" s="3">
        <f>E42/SUM(E42:E46)</f>
        <v>0.15831987075928919</v>
      </c>
    </row>
    <row r="43" spans="1:6" ht="16.5" customHeight="1" x14ac:dyDescent="0.2">
      <c r="A43" s="1" t="s">
        <v>43</v>
      </c>
      <c r="B43" s="1" t="s">
        <v>12</v>
      </c>
      <c r="C43" s="1" t="s">
        <v>49</v>
      </c>
      <c r="D43" s="1">
        <v>2</v>
      </c>
      <c r="E43" s="2">
        <v>385</v>
      </c>
      <c r="F43" s="3">
        <f>E43/SUM(E42:E46)</f>
        <v>0.62197092084006467</v>
      </c>
    </row>
    <row r="44" spans="1:6" ht="16.5" customHeight="1" x14ac:dyDescent="0.2">
      <c r="A44" s="1" t="s">
        <v>43</v>
      </c>
      <c r="B44" s="1" t="s">
        <v>12</v>
      </c>
      <c r="C44" s="1" t="s">
        <v>50</v>
      </c>
      <c r="D44" s="1">
        <v>3</v>
      </c>
      <c r="E44" s="2">
        <v>118</v>
      </c>
      <c r="F44" s="3">
        <f>E44/SUM(E42:E46)</f>
        <v>0.19063004846526657</v>
      </c>
    </row>
    <row r="45" spans="1:6" ht="16.5" customHeight="1" x14ac:dyDescent="0.2">
      <c r="A45" s="1" t="s">
        <v>43</v>
      </c>
      <c r="B45" s="1" t="s">
        <v>12</v>
      </c>
      <c r="C45" s="1" t="s">
        <v>51</v>
      </c>
      <c r="D45" s="1">
        <v>4</v>
      </c>
      <c r="E45" s="2">
        <v>5</v>
      </c>
      <c r="F45" s="3">
        <f>E45/SUM(E42:E46)</f>
        <v>8.0775444264943458E-3</v>
      </c>
    </row>
    <row r="46" spans="1:6" ht="16.5" customHeight="1" x14ac:dyDescent="0.2">
      <c r="A46" s="1" t="s">
        <v>43</v>
      </c>
      <c r="B46" s="1" t="s">
        <v>12</v>
      </c>
      <c r="C46" s="1" t="s">
        <v>52</v>
      </c>
      <c r="D46" s="1">
        <v>5</v>
      </c>
      <c r="E46" s="2">
        <v>13</v>
      </c>
      <c r="F46" s="3">
        <f>E46/SUM(E42:E46)</f>
        <v>2.10016155088853E-2</v>
      </c>
    </row>
    <row r="47" spans="1:6" ht="16.5" customHeight="1" x14ac:dyDescent="0.2">
      <c r="A47" s="1" t="s">
        <v>43</v>
      </c>
      <c r="B47" s="1" t="s">
        <v>13</v>
      </c>
      <c r="C47" s="1" t="s">
        <v>48</v>
      </c>
      <c r="D47" s="1">
        <v>1</v>
      </c>
      <c r="E47" s="2">
        <v>51</v>
      </c>
      <c r="F47" s="3">
        <f>E47/SUM(E47:E51)</f>
        <v>6.5051020408163268E-2</v>
      </c>
    </row>
    <row r="48" spans="1:6" ht="16.5" customHeight="1" x14ac:dyDescent="0.2">
      <c r="A48" s="1" t="s">
        <v>43</v>
      </c>
      <c r="B48" s="1" t="s">
        <v>13</v>
      </c>
      <c r="C48" s="1" t="s">
        <v>49</v>
      </c>
      <c r="D48" s="1">
        <v>2</v>
      </c>
      <c r="E48" s="2">
        <v>516</v>
      </c>
      <c r="F48" s="3">
        <f>E48/SUM(E47:E51)</f>
        <v>0.65816326530612246</v>
      </c>
    </row>
    <row r="49" spans="1:6" ht="16.5" customHeight="1" x14ac:dyDescent="0.2">
      <c r="A49" s="1" t="s">
        <v>43</v>
      </c>
      <c r="B49" s="1" t="s">
        <v>13</v>
      </c>
      <c r="C49" s="1" t="s">
        <v>50</v>
      </c>
      <c r="D49" s="1">
        <v>3</v>
      </c>
      <c r="E49" s="2">
        <v>158</v>
      </c>
      <c r="F49" s="3">
        <f>E49/SUM(E47:E51)</f>
        <v>0.20153061224489796</v>
      </c>
    </row>
    <row r="50" spans="1:6" ht="16.5" customHeight="1" x14ac:dyDescent="0.2">
      <c r="A50" s="1" t="s">
        <v>43</v>
      </c>
      <c r="B50" s="1" t="s">
        <v>13</v>
      </c>
      <c r="C50" s="1" t="s">
        <v>51</v>
      </c>
      <c r="D50" s="1">
        <v>4</v>
      </c>
      <c r="E50" s="2">
        <v>14</v>
      </c>
      <c r="F50" s="3">
        <f>E50/SUM(E47:E51)</f>
        <v>1.7857142857142856E-2</v>
      </c>
    </row>
    <row r="51" spans="1:6" ht="16.5" customHeight="1" x14ac:dyDescent="0.2">
      <c r="A51" s="1" t="s">
        <v>43</v>
      </c>
      <c r="B51" s="1" t="s">
        <v>13</v>
      </c>
      <c r="C51" s="1" t="s">
        <v>52</v>
      </c>
      <c r="D51" s="1">
        <v>5</v>
      </c>
      <c r="E51" s="2">
        <v>45</v>
      </c>
      <c r="F51" s="3">
        <f>E51/SUM(E47:E51)</f>
        <v>5.7397959183673471E-2</v>
      </c>
    </row>
    <row r="52" spans="1:6" ht="16.5" customHeight="1" x14ac:dyDescent="0.2">
      <c r="A52" s="1" t="s">
        <v>43</v>
      </c>
      <c r="B52" s="1" t="s">
        <v>14</v>
      </c>
      <c r="C52" s="1" t="s">
        <v>48</v>
      </c>
      <c r="D52" s="1">
        <v>1</v>
      </c>
      <c r="E52" s="2">
        <v>8</v>
      </c>
      <c r="F52" s="3">
        <f>E52/SUM(E52:E56)</f>
        <v>3.0418250950570342E-2</v>
      </c>
    </row>
    <row r="53" spans="1:6" ht="16.5" customHeight="1" x14ac:dyDescent="0.2">
      <c r="A53" s="1" t="s">
        <v>43</v>
      </c>
      <c r="B53" s="1" t="s">
        <v>14</v>
      </c>
      <c r="C53" s="1" t="s">
        <v>49</v>
      </c>
      <c r="D53" s="1">
        <v>2</v>
      </c>
      <c r="E53" s="2">
        <v>157</v>
      </c>
      <c r="F53" s="3">
        <f>E53/SUM(E52:E56)</f>
        <v>0.59695817490494296</v>
      </c>
    </row>
    <row r="54" spans="1:6" ht="16.5" customHeight="1" x14ac:dyDescent="0.2">
      <c r="A54" s="1" t="s">
        <v>43</v>
      </c>
      <c r="B54" s="1" t="s">
        <v>14</v>
      </c>
      <c r="C54" s="1" t="s">
        <v>50</v>
      </c>
      <c r="D54" s="1">
        <v>3</v>
      </c>
      <c r="E54" s="2">
        <v>65</v>
      </c>
      <c r="F54" s="3">
        <f>E54/SUM(E52:E56)</f>
        <v>0.24714828897338403</v>
      </c>
    </row>
    <row r="55" spans="1:6" ht="16.5" customHeight="1" x14ac:dyDescent="0.2">
      <c r="A55" s="1" t="s">
        <v>43</v>
      </c>
      <c r="B55" s="1" t="s">
        <v>14</v>
      </c>
      <c r="C55" s="1" t="s">
        <v>51</v>
      </c>
      <c r="D55" s="1">
        <v>4</v>
      </c>
      <c r="E55" s="2">
        <v>2</v>
      </c>
      <c r="F55" s="3">
        <f>E55/SUM(E52:E56)</f>
        <v>7.6045627376425855E-3</v>
      </c>
    </row>
    <row r="56" spans="1:6" ht="16.5" customHeight="1" x14ac:dyDescent="0.2">
      <c r="A56" s="1" t="s">
        <v>43</v>
      </c>
      <c r="B56" s="1" t="s">
        <v>14</v>
      </c>
      <c r="C56" s="1" t="s">
        <v>52</v>
      </c>
      <c r="D56" s="1">
        <v>5</v>
      </c>
      <c r="E56" s="2">
        <v>31</v>
      </c>
      <c r="F56" s="3">
        <f>E56/SUM(E52:E56)</f>
        <v>0.11787072243346007</v>
      </c>
    </row>
    <row r="57" spans="1:6" ht="16.5" customHeight="1" x14ac:dyDescent="0.2">
      <c r="A57" s="1" t="s">
        <v>43</v>
      </c>
      <c r="B57" s="1" t="s">
        <v>15</v>
      </c>
      <c r="C57" s="1" t="s">
        <v>48</v>
      </c>
      <c r="D57" s="1">
        <v>1</v>
      </c>
      <c r="E57" s="2">
        <v>65</v>
      </c>
      <c r="F57" s="3">
        <f>E57/SUM(E57:E61)</f>
        <v>0.10383386581469649</v>
      </c>
    </row>
    <row r="58" spans="1:6" ht="16.5" customHeight="1" x14ac:dyDescent="0.2">
      <c r="A58" s="1" t="s">
        <v>43</v>
      </c>
      <c r="B58" s="1" t="s">
        <v>15</v>
      </c>
      <c r="C58" s="1" t="s">
        <v>49</v>
      </c>
      <c r="D58" s="1">
        <v>2</v>
      </c>
      <c r="E58" s="2">
        <v>332</v>
      </c>
      <c r="F58" s="3">
        <f>E58/SUM(E57:E61)</f>
        <v>0.53035143769968052</v>
      </c>
    </row>
    <row r="59" spans="1:6" ht="16.5" customHeight="1" x14ac:dyDescent="0.2">
      <c r="A59" s="1" t="s">
        <v>43</v>
      </c>
      <c r="B59" s="1" t="s">
        <v>15</v>
      </c>
      <c r="C59" s="1" t="s">
        <v>50</v>
      </c>
      <c r="D59" s="1">
        <v>3</v>
      </c>
      <c r="E59" s="2">
        <v>187</v>
      </c>
      <c r="F59" s="3">
        <f>E59/SUM(E57:E61)</f>
        <v>0.2987220447284345</v>
      </c>
    </row>
    <row r="60" spans="1:6" ht="16.5" customHeight="1" x14ac:dyDescent="0.2">
      <c r="A60" s="1" t="s">
        <v>43</v>
      </c>
      <c r="B60" s="1" t="s">
        <v>15</v>
      </c>
      <c r="C60" s="1" t="s">
        <v>51</v>
      </c>
      <c r="D60" s="1">
        <v>4</v>
      </c>
      <c r="E60" s="2">
        <v>30</v>
      </c>
      <c r="F60" s="3">
        <f>E60/SUM(E57:E61)</f>
        <v>4.7923322683706068E-2</v>
      </c>
    </row>
    <row r="61" spans="1:6" ht="16.5" customHeight="1" x14ac:dyDescent="0.2">
      <c r="A61" s="1" t="s">
        <v>43</v>
      </c>
      <c r="B61" s="1" t="s">
        <v>15</v>
      </c>
      <c r="C61" s="1" t="s">
        <v>52</v>
      </c>
      <c r="D61" s="1">
        <v>5</v>
      </c>
      <c r="E61" s="2">
        <v>12</v>
      </c>
      <c r="F61" s="3">
        <f>E61/SUM(E57:E61)</f>
        <v>1.9169329073482427E-2</v>
      </c>
    </row>
    <row r="62" spans="1:6" ht="16.5" customHeight="1" x14ac:dyDescent="0.2">
      <c r="A62" s="1" t="s">
        <v>43</v>
      </c>
      <c r="B62" s="1" t="s">
        <v>16</v>
      </c>
      <c r="C62" s="1" t="s">
        <v>48</v>
      </c>
      <c r="D62" s="1">
        <v>1</v>
      </c>
      <c r="E62" s="2">
        <v>22</v>
      </c>
      <c r="F62" s="3">
        <f>E62/SUM(E62:E66)</f>
        <v>3.1339031339031341E-2</v>
      </c>
    </row>
    <row r="63" spans="1:6" ht="16.5" customHeight="1" x14ac:dyDescent="0.2">
      <c r="A63" s="1" t="s">
        <v>43</v>
      </c>
      <c r="B63" s="1" t="s">
        <v>16</v>
      </c>
      <c r="C63" s="1" t="s">
        <v>49</v>
      </c>
      <c r="D63" s="1">
        <v>2</v>
      </c>
      <c r="E63" s="2">
        <v>369</v>
      </c>
      <c r="F63" s="3">
        <f>E63/SUM(E62:E66)</f>
        <v>0.52564102564102566</v>
      </c>
    </row>
    <row r="64" spans="1:6" ht="16.5" customHeight="1" x14ac:dyDescent="0.2">
      <c r="A64" s="1" t="s">
        <v>43</v>
      </c>
      <c r="B64" s="1" t="s">
        <v>16</v>
      </c>
      <c r="C64" s="1" t="s">
        <v>50</v>
      </c>
      <c r="D64" s="1">
        <v>3</v>
      </c>
      <c r="E64" s="2">
        <v>164</v>
      </c>
      <c r="F64" s="3">
        <f>E64/SUM(E62:E66)</f>
        <v>0.23361823361823361</v>
      </c>
    </row>
    <row r="65" spans="1:6" ht="16.5" customHeight="1" x14ac:dyDescent="0.2">
      <c r="A65" s="1" t="s">
        <v>43</v>
      </c>
      <c r="B65" s="1" t="s">
        <v>16</v>
      </c>
      <c r="C65" s="1" t="s">
        <v>51</v>
      </c>
      <c r="D65" s="1">
        <v>4</v>
      </c>
      <c r="E65" s="2">
        <v>17</v>
      </c>
      <c r="F65" s="3">
        <f>E65/SUM(E62:E66)</f>
        <v>2.4216524216524215E-2</v>
      </c>
    </row>
    <row r="66" spans="1:6" ht="16.5" customHeight="1" x14ac:dyDescent="0.2">
      <c r="A66" s="1" t="s">
        <v>43</v>
      </c>
      <c r="B66" s="1" t="s">
        <v>16</v>
      </c>
      <c r="C66" s="1" t="s">
        <v>52</v>
      </c>
      <c r="D66" s="1">
        <v>5</v>
      </c>
      <c r="E66" s="2">
        <v>130</v>
      </c>
      <c r="F66" s="3">
        <f>E66/SUM(E62:E66)</f>
        <v>0.18518518518518517</v>
      </c>
    </row>
    <row r="67" spans="1:6" ht="16.5" customHeight="1" x14ac:dyDescent="0.2">
      <c r="A67" s="1" t="s">
        <v>43</v>
      </c>
      <c r="B67" s="1" t="s">
        <v>17</v>
      </c>
      <c r="C67" s="1" t="s">
        <v>48</v>
      </c>
      <c r="D67" s="1">
        <v>1</v>
      </c>
      <c r="E67" s="2">
        <v>81</v>
      </c>
      <c r="F67" s="3">
        <f>E67/SUM(E67:E71)</f>
        <v>0.140625</v>
      </c>
    </row>
    <row r="68" spans="1:6" ht="16.5" customHeight="1" x14ac:dyDescent="0.2">
      <c r="A68" s="1" t="s">
        <v>43</v>
      </c>
      <c r="B68" s="1" t="s">
        <v>17</v>
      </c>
      <c r="C68" s="1" t="s">
        <v>49</v>
      </c>
      <c r="D68" s="1">
        <v>2</v>
      </c>
      <c r="E68" s="2">
        <v>336</v>
      </c>
      <c r="F68" s="3">
        <f>E68/SUM(E67:E71)</f>
        <v>0.58333333333333337</v>
      </c>
    </row>
    <row r="69" spans="1:6" ht="16.5" customHeight="1" x14ac:dyDescent="0.2">
      <c r="A69" s="1" t="s">
        <v>43</v>
      </c>
      <c r="B69" s="1" t="s">
        <v>17</v>
      </c>
      <c r="C69" s="1" t="s">
        <v>50</v>
      </c>
      <c r="D69" s="1">
        <v>3</v>
      </c>
      <c r="E69" s="2">
        <v>133</v>
      </c>
      <c r="F69" s="3">
        <f>E69/SUM(E67:E71)</f>
        <v>0.23090277777777779</v>
      </c>
    </row>
    <row r="70" spans="1:6" ht="16.5" customHeight="1" x14ac:dyDescent="0.2">
      <c r="A70" s="1" t="s">
        <v>43</v>
      </c>
      <c r="B70" s="1" t="s">
        <v>17</v>
      </c>
      <c r="C70" s="1" t="s">
        <v>51</v>
      </c>
      <c r="D70" s="1">
        <v>4</v>
      </c>
      <c r="E70" s="2">
        <v>16</v>
      </c>
      <c r="F70" s="3">
        <f>E70/SUM(E67:E71)</f>
        <v>2.7777777777777776E-2</v>
      </c>
    </row>
    <row r="71" spans="1:6" ht="16.5" customHeight="1" x14ac:dyDescent="0.2">
      <c r="A71" s="1" t="s">
        <v>43</v>
      </c>
      <c r="B71" s="1" t="s">
        <v>17</v>
      </c>
      <c r="C71" s="1" t="s">
        <v>52</v>
      </c>
      <c r="D71" s="1">
        <v>5</v>
      </c>
      <c r="E71" s="2">
        <v>10</v>
      </c>
      <c r="F71" s="3">
        <f>E71/SUM(E67:E71)</f>
        <v>1.7361111111111112E-2</v>
      </c>
    </row>
    <row r="72" spans="1:6" ht="16.5" customHeight="1" x14ac:dyDescent="0.25">
      <c r="A72" s="6" t="s">
        <v>44</v>
      </c>
      <c r="B72" s="7" t="s">
        <v>26</v>
      </c>
      <c r="C72" s="1" t="s">
        <v>48</v>
      </c>
      <c r="D72" s="1">
        <v>1</v>
      </c>
      <c r="E72" s="2">
        <v>119</v>
      </c>
      <c r="F72" s="3">
        <f>E72/SUM(E72:E76)</f>
        <v>0.11301044634377967</v>
      </c>
    </row>
    <row r="73" spans="1:6" ht="16.5" customHeight="1" x14ac:dyDescent="0.25">
      <c r="A73" s="6" t="s">
        <v>44</v>
      </c>
      <c r="B73" s="7" t="s">
        <v>26</v>
      </c>
      <c r="C73" s="1" t="s">
        <v>49</v>
      </c>
      <c r="D73" s="1">
        <v>2</v>
      </c>
      <c r="E73" s="2">
        <v>602</v>
      </c>
      <c r="F73" s="3">
        <f>E73/SUM(E72:E76)</f>
        <v>0.57169990503323842</v>
      </c>
    </row>
    <row r="74" spans="1:6" ht="16.5" customHeight="1" x14ac:dyDescent="0.25">
      <c r="A74" s="6" t="s">
        <v>44</v>
      </c>
      <c r="B74" s="7" t="s">
        <v>26</v>
      </c>
      <c r="C74" s="1" t="s">
        <v>50</v>
      </c>
      <c r="D74" s="1">
        <v>3</v>
      </c>
      <c r="E74" s="2">
        <v>285</v>
      </c>
      <c r="F74" s="3">
        <f>E74/SUM(E72:E76)</f>
        <v>0.27065527065527067</v>
      </c>
    </row>
    <row r="75" spans="1:6" ht="16.5" customHeight="1" x14ac:dyDescent="0.25">
      <c r="A75" s="6" t="s">
        <v>44</v>
      </c>
      <c r="B75" s="7" t="s">
        <v>26</v>
      </c>
      <c r="C75" s="1" t="s">
        <v>51</v>
      </c>
      <c r="D75" s="1">
        <v>4</v>
      </c>
      <c r="E75" s="2">
        <v>36</v>
      </c>
      <c r="F75" s="3">
        <f>E75/SUM(E72:E76)</f>
        <v>3.4188034188034191E-2</v>
      </c>
    </row>
    <row r="76" spans="1:6" ht="16.5" customHeight="1" x14ac:dyDescent="0.25">
      <c r="A76" s="6" t="s">
        <v>44</v>
      </c>
      <c r="B76" s="7" t="s">
        <v>26</v>
      </c>
      <c r="C76" s="1" t="s">
        <v>52</v>
      </c>
      <c r="D76" s="1">
        <v>5</v>
      </c>
      <c r="E76" s="2">
        <v>11</v>
      </c>
      <c r="F76" s="3">
        <f>E76/SUM(E72:E76)</f>
        <v>1.0446343779677113E-2</v>
      </c>
    </row>
    <row r="77" spans="1:6" ht="16.5" customHeight="1" x14ac:dyDescent="0.25">
      <c r="A77" s="6" t="s">
        <v>44</v>
      </c>
      <c r="B77" s="7" t="s">
        <v>27</v>
      </c>
      <c r="C77" s="1" t="s">
        <v>48</v>
      </c>
      <c r="D77" s="1">
        <v>1</v>
      </c>
      <c r="E77" s="2">
        <v>25</v>
      </c>
      <c r="F77" s="3">
        <f>E77/SUM(E77:E81)</f>
        <v>7.02247191011236E-2</v>
      </c>
    </row>
    <row r="78" spans="1:6" ht="16.5" customHeight="1" x14ac:dyDescent="0.25">
      <c r="A78" s="6" t="s">
        <v>44</v>
      </c>
      <c r="B78" s="7" t="s">
        <v>27</v>
      </c>
      <c r="C78" s="1" t="s">
        <v>49</v>
      </c>
      <c r="D78" s="1">
        <v>2</v>
      </c>
      <c r="E78" s="2">
        <v>255</v>
      </c>
      <c r="F78" s="3">
        <f>E78/SUM(E77:E81)</f>
        <v>0.7162921348314607</v>
      </c>
    </row>
    <row r="79" spans="1:6" ht="16.5" customHeight="1" x14ac:dyDescent="0.25">
      <c r="A79" s="6" t="s">
        <v>44</v>
      </c>
      <c r="B79" s="7" t="s">
        <v>27</v>
      </c>
      <c r="C79" s="1" t="s">
        <v>50</v>
      </c>
      <c r="D79" s="1">
        <v>3</v>
      </c>
      <c r="E79" s="2">
        <v>56</v>
      </c>
      <c r="F79" s="3">
        <f>E79/SUM(E77:E81)</f>
        <v>0.15730337078651685</v>
      </c>
    </row>
    <row r="80" spans="1:6" ht="16.5" customHeight="1" x14ac:dyDescent="0.25">
      <c r="A80" s="6" t="s">
        <v>44</v>
      </c>
      <c r="B80" s="7" t="s">
        <v>27</v>
      </c>
      <c r="C80" s="1" t="s">
        <v>51</v>
      </c>
      <c r="D80" s="1">
        <v>4</v>
      </c>
      <c r="E80" s="2">
        <v>10</v>
      </c>
      <c r="F80" s="3">
        <f>E80/SUM(E77:E81)</f>
        <v>2.8089887640449437E-2</v>
      </c>
    </row>
    <row r="81" spans="1:6" ht="16.5" customHeight="1" x14ac:dyDescent="0.25">
      <c r="A81" s="6" t="s">
        <v>44</v>
      </c>
      <c r="B81" s="7" t="s">
        <v>27</v>
      </c>
      <c r="C81" s="1" t="s">
        <v>52</v>
      </c>
      <c r="D81" s="1">
        <v>5</v>
      </c>
      <c r="E81" s="2">
        <v>10</v>
      </c>
      <c r="F81" s="3">
        <f>E81/SUM(E77:E81)</f>
        <v>2.8089887640449437E-2</v>
      </c>
    </row>
    <row r="82" spans="1:6" ht="16.5" customHeight="1" x14ac:dyDescent="0.25">
      <c r="A82" s="6" t="s">
        <v>44</v>
      </c>
      <c r="B82" s="7" t="s">
        <v>28</v>
      </c>
      <c r="C82" s="1" t="s">
        <v>48</v>
      </c>
      <c r="D82" s="1">
        <v>1</v>
      </c>
      <c r="E82" s="2">
        <v>49</v>
      </c>
      <c r="F82" s="3">
        <f>E82/SUM(E82:E86)</f>
        <v>0.18992248062015504</v>
      </c>
    </row>
    <row r="83" spans="1:6" ht="16.5" customHeight="1" x14ac:dyDescent="0.25">
      <c r="A83" s="6" t="s">
        <v>44</v>
      </c>
      <c r="B83" s="7" t="s">
        <v>28</v>
      </c>
      <c r="C83" s="1" t="s">
        <v>49</v>
      </c>
      <c r="D83" s="1">
        <v>2</v>
      </c>
      <c r="E83" s="2">
        <v>84</v>
      </c>
      <c r="F83" s="3">
        <f>E83/SUM(E82:E86)</f>
        <v>0.32558139534883723</v>
      </c>
    </row>
    <row r="84" spans="1:6" ht="16.5" customHeight="1" x14ac:dyDescent="0.25">
      <c r="A84" s="6" t="s">
        <v>44</v>
      </c>
      <c r="B84" s="7" t="s">
        <v>28</v>
      </c>
      <c r="C84" s="1" t="s">
        <v>50</v>
      </c>
      <c r="D84" s="1">
        <v>3</v>
      </c>
      <c r="E84" s="2">
        <v>118</v>
      </c>
      <c r="F84" s="3">
        <f>E84/SUM(E82:E86)</f>
        <v>0.4573643410852713</v>
      </c>
    </row>
    <row r="85" spans="1:6" ht="16.5" customHeight="1" x14ac:dyDescent="0.25">
      <c r="A85" s="6" t="s">
        <v>44</v>
      </c>
      <c r="B85" s="7" t="s">
        <v>28</v>
      </c>
      <c r="C85" s="1" t="s">
        <v>51</v>
      </c>
      <c r="D85" s="1">
        <v>4</v>
      </c>
      <c r="E85" s="2">
        <v>5</v>
      </c>
      <c r="F85" s="3">
        <f>E85/SUM(E82:E86)</f>
        <v>1.937984496124031E-2</v>
      </c>
    </row>
    <row r="86" spans="1:6" ht="16.5" customHeight="1" x14ac:dyDescent="0.25">
      <c r="A86" s="6" t="s">
        <v>44</v>
      </c>
      <c r="B86" s="7" t="s">
        <v>28</v>
      </c>
      <c r="C86" s="1" t="s">
        <v>52</v>
      </c>
      <c r="D86" s="1">
        <v>5</v>
      </c>
      <c r="E86" s="2">
        <v>2</v>
      </c>
      <c r="F86" s="3">
        <f>E86/SUM(E82:E86)</f>
        <v>7.7519379844961239E-3</v>
      </c>
    </row>
    <row r="87" spans="1:6" ht="16.5" customHeight="1" x14ac:dyDescent="0.25">
      <c r="A87" s="6" t="s">
        <v>44</v>
      </c>
      <c r="B87" s="7" t="s">
        <v>29</v>
      </c>
      <c r="C87" s="1" t="s">
        <v>48</v>
      </c>
      <c r="D87" s="1">
        <v>1</v>
      </c>
      <c r="E87" s="2">
        <v>26</v>
      </c>
      <c r="F87" s="3">
        <f>E87/SUM(E87:E91)</f>
        <v>6.6838046272493568E-2</v>
      </c>
    </row>
    <row r="88" spans="1:6" ht="16.5" customHeight="1" x14ac:dyDescent="0.25">
      <c r="A88" s="6" t="s">
        <v>44</v>
      </c>
      <c r="B88" s="7" t="s">
        <v>29</v>
      </c>
      <c r="C88" s="1" t="s">
        <v>49</v>
      </c>
      <c r="D88" s="1">
        <v>2</v>
      </c>
      <c r="E88" s="2">
        <v>252</v>
      </c>
      <c r="F88" s="3">
        <f>E88/SUM(E87:E91)</f>
        <v>0.6478149100257069</v>
      </c>
    </row>
    <row r="89" spans="1:6" ht="16.5" customHeight="1" x14ac:dyDescent="0.25">
      <c r="A89" s="6" t="s">
        <v>44</v>
      </c>
      <c r="B89" s="7" t="s">
        <v>29</v>
      </c>
      <c r="C89" s="1" t="s">
        <v>50</v>
      </c>
      <c r="D89" s="1">
        <v>3</v>
      </c>
      <c r="E89" s="2">
        <v>91</v>
      </c>
      <c r="F89" s="3">
        <f>E89/SUM(E87:E91)</f>
        <v>0.23393316195372751</v>
      </c>
    </row>
    <row r="90" spans="1:6" ht="16.5" customHeight="1" x14ac:dyDescent="0.25">
      <c r="A90" s="6" t="s">
        <v>44</v>
      </c>
      <c r="B90" s="7" t="s">
        <v>29</v>
      </c>
      <c r="C90" s="1" t="s">
        <v>51</v>
      </c>
      <c r="D90" s="1">
        <v>4</v>
      </c>
      <c r="E90" s="2">
        <v>14</v>
      </c>
      <c r="F90" s="3">
        <f>E90/SUM(E87:E91)</f>
        <v>3.5989717223650387E-2</v>
      </c>
    </row>
    <row r="91" spans="1:6" ht="16.5" customHeight="1" x14ac:dyDescent="0.25">
      <c r="A91" s="6" t="s">
        <v>44</v>
      </c>
      <c r="B91" s="7" t="s">
        <v>29</v>
      </c>
      <c r="C91" s="1" t="s">
        <v>52</v>
      </c>
      <c r="D91" s="1">
        <v>5</v>
      </c>
      <c r="E91" s="2">
        <v>6</v>
      </c>
      <c r="F91" s="3">
        <f>E91/SUM(E87:E91)</f>
        <v>1.5424164524421594E-2</v>
      </c>
    </row>
    <row r="92" spans="1:6" ht="16.5" customHeight="1" x14ac:dyDescent="0.25">
      <c r="A92" s="6" t="s">
        <v>44</v>
      </c>
      <c r="B92" s="7" t="s">
        <v>30</v>
      </c>
      <c r="C92" s="1" t="s">
        <v>48</v>
      </c>
      <c r="D92" s="1">
        <v>1</v>
      </c>
      <c r="E92" s="2">
        <v>23</v>
      </c>
      <c r="F92" s="3">
        <f>E92/SUM(E92:E96)</f>
        <v>5.18018018018018E-2</v>
      </c>
    </row>
    <row r="93" spans="1:6" ht="16.5" customHeight="1" x14ac:dyDescent="0.25">
      <c r="A93" s="6" t="s">
        <v>44</v>
      </c>
      <c r="B93" s="7" t="s">
        <v>30</v>
      </c>
      <c r="C93" s="1" t="s">
        <v>49</v>
      </c>
      <c r="D93" s="1">
        <v>2</v>
      </c>
      <c r="E93" s="2">
        <v>329</v>
      </c>
      <c r="F93" s="3">
        <f>E93/SUM(E92:E96)</f>
        <v>0.74099099099099097</v>
      </c>
    </row>
    <row r="94" spans="1:6" ht="16.5" customHeight="1" x14ac:dyDescent="0.25">
      <c r="A94" s="6" t="s">
        <v>44</v>
      </c>
      <c r="B94" s="7" t="s">
        <v>30</v>
      </c>
      <c r="C94" s="1" t="s">
        <v>50</v>
      </c>
      <c r="D94" s="1">
        <v>3</v>
      </c>
      <c r="E94" s="2">
        <v>69</v>
      </c>
      <c r="F94" s="3">
        <f>E94/SUM(E92:E96)</f>
        <v>0.1554054054054054</v>
      </c>
    </row>
    <row r="95" spans="1:6" ht="16.5" customHeight="1" x14ac:dyDescent="0.25">
      <c r="A95" s="6" t="s">
        <v>44</v>
      </c>
      <c r="B95" s="7" t="s">
        <v>30</v>
      </c>
      <c r="C95" s="1" t="s">
        <v>51</v>
      </c>
      <c r="D95" s="1">
        <v>4</v>
      </c>
      <c r="E95" s="2">
        <v>16</v>
      </c>
      <c r="F95" s="3">
        <f>E95/SUM(E92:E96)</f>
        <v>3.6036036036036036E-2</v>
      </c>
    </row>
    <row r="96" spans="1:6" ht="16.5" customHeight="1" x14ac:dyDescent="0.25">
      <c r="A96" s="6" t="s">
        <v>44</v>
      </c>
      <c r="B96" s="7" t="s">
        <v>30</v>
      </c>
      <c r="C96" s="1" t="s">
        <v>52</v>
      </c>
      <c r="D96" s="1">
        <v>5</v>
      </c>
      <c r="E96" s="2">
        <v>7</v>
      </c>
      <c r="F96" s="3">
        <f>E96/SUM(E92:E96)</f>
        <v>1.5765765765765764E-2</v>
      </c>
    </row>
    <row r="97" spans="1:6" ht="16.5" customHeight="1" x14ac:dyDescent="0.25">
      <c r="A97" s="6" t="s">
        <v>44</v>
      </c>
      <c r="B97" s="7" t="s">
        <v>31</v>
      </c>
      <c r="C97" s="1" t="s">
        <v>48</v>
      </c>
      <c r="D97" s="1">
        <v>1</v>
      </c>
      <c r="E97" s="2">
        <v>17</v>
      </c>
      <c r="F97" s="3">
        <f>E97/SUM(E97:E101)</f>
        <v>5.5555555555555552E-2</v>
      </c>
    </row>
    <row r="98" spans="1:6" ht="16.5" customHeight="1" x14ac:dyDescent="0.25">
      <c r="A98" s="6" t="s">
        <v>44</v>
      </c>
      <c r="B98" s="7" t="s">
        <v>31</v>
      </c>
      <c r="C98" s="1" t="s">
        <v>49</v>
      </c>
      <c r="D98" s="1">
        <v>2</v>
      </c>
      <c r="E98" s="2">
        <v>229</v>
      </c>
      <c r="F98" s="3">
        <f>E98/SUM(E97:E101)</f>
        <v>0.74836601307189543</v>
      </c>
    </row>
    <row r="99" spans="1:6" ht="16.5" customHeight="1" x14ac:dyDescent="0.25">
      <c r="A99" s="6" t="s">
        <v>44</v>
      </c>
      <c r="B99" s="7" t="s">
        <v>31</v>
      </c>
      <c r="C99" s="1" t="s">
        <v>50</v>
      </c>
      <c r="D99" s="1">
        <v>3</v>
      </c>
      <c r="E99" s="2">
        <v>54</v>
      </c>
      <c r="F99" s="3">
        <f>E99/SUM(E97:E101)</f>
        <v>0.17647058823529413</v>
      </c>
    </row>
    <row r="100" spans="1:6" ht="16.5" customHeight="1" x14ac:dyDescent="0.25">
      <c r="A100" s="6" t="s">
        <v>44</v>
      </c>
      <c r="B100" s="7" t="s">
        <v>31</v>
      </c>
      <c r="C100" s="1" t="s">
        <v>51</v>
      </c>
      <c r="D100" s="1">
        <v>4</v>
      </c>
      <c r="E100" s="2">
        <v>4</v>
      </c>
      <c r="F100" s="3">
        <f>E100/SUM(E97:E101)</f>
        <v>1.3071895424836602E-2</v>
      </c>
    </row>
    <row r="101" spans="1:6" ht="16.5" customHeight="1" x14ac:dyDescent="0.25">
      <c r="A101" s="6" t="s">
        <v>44</v>
      </c>
      <c r="B101" s="7" t="s">
        <v>31</v>
      </c>
      <c r="C101" s="1" t="s">
        <v>52</v>
      </c>
      <c r="D101" s="1">
        <v>5</v>
      </c>
      <c r="E101" s="2">
        <v>2</v>
      </c>
      <c r="F101" s="3">
        <f>E101/SUM(E97:E101)</f>
        <v>6.5359477124183009E-3</v>
      </c>
    </row>
    <row r="102" spans="1:6" ht="16.5" customHeight="1" x14ac:dyDescent="0.25">
      <c r="A102" s="6" t="s">
        <v>44</v>
      </c>
      <c r="B102" s="7" t="s">
        <v>32</v>
      </c>
      <c r="C102" s="1" t="s">
        <v>48</v>
      </c>
      <c r="D102" s="1">
        <v>1</v>
      </c>
      <c r="E102" s="2">
        <v>26</v>
      </c>
      <c r="F102" s="3">
        <f>E102/SUM(E102:E106)</f>
        <v>7.8549848942598186E-2</v>
      </c>
    </row>
    <row r="103" spans="1:6" ht="16.5" customHeight="1" x14ac:dyDescent="0.25">
      <c r="A103" s="6" t="s">
        <v>44</v>
      </c>
      <c r="B103" s="7" t="s">
        <v>32</v>
      </c>
      <c r="C103" s="1" t="s">
        <v>49</v>
      </c>
      <c r="D103" s="1">
        <v>2</v>
      </c>
      <c r="E103" s="2">
        <v>221</v>
      </c>
      <c r="F103" s="3">
        <f>E103/SUM(E102:E106)</f>
        <v>0.66767371601208458</v>
      </c>
    </row>
    <row r="104" spans="1:6" ht="16.5" customHeight="1" x14ac:dyDescent="0.25">
      <c r="A104" s="6" t="s">
        <v>44</v>
      </c>
      <c r="B104" s="7" t="s">
        <v>32</v>
      </c>
      <c r="C104" s="1" t="s">
        <v>50</v>
      </c>
      <c r="D104" s="1">
        <v>3</v>
      </c>
      <c r="E104" s="2">
        <v>64</v>
      </c>
      <c r="F104" s="3">
        <f>E104/SUM(E102:E106)</f>
        <v>0.19335347432024169</v>
      </c>
    </row>
    <row r="105" spans="1:6" ht="16.5" customHeight="1" x14ac:dyDescent="0.25">
      <c r="A105" s="6" t="s">
        <v>44</v>
      </c>
      <c r="B105" s="7" t="s">
        <v>32</v>
      </c>
      <c r="C105" s="1" t="s">
        <v>51</v>
      </c>
      <c r="D105" s="1">
        <v>4</v>
      </c>
      <c r="E105" s="2">
        <v>19</v>
      </c>
      <c r="F105" s="3">
        <f>E105/SUM(E102:E106)</f>
        <v>5.7401812688821753E-2</v>
      </c>
    </row>
    <row r="106" spans="1:6" ht="16.5" customHeight="1" x14ac:dyDescent="0.25">
      <c r="A106" s="6" t="s">
        <v>44</v>
      </c>
      <c r="B106" s="7" t="s">
        <v>32</v>
      </c>
      <c r="C106" s="1" t="s">
        <v>52</v>
      </c>
      <c r="D106" s="1">
        <v>5</v>
      </c>
      <c r="E106" s="2">
        <v>1</v>
      </c>
      <c r="F106" s="3">
        <f>E106/SUM(E102:E106)</f>
        <v>3.0211480362537764E-3</v>
      </c>
    </row>
    <row r="107" spans="1:6" ht="16.5" customHeight="1" x14ac:dyDescent="0.25">
      <c r="A107" s="6" t="s">
        <v>44</v>
      </c>
      <c r="B107" s="7" t="s">
        <v>33</v>
      </c>
      <c r="C107" s="1" t="s">
        <v>48</v>
      </c>
      <c r="D107" s="1">
        <v>1</v>
      </c>
      <c r="E107" s="2">
        <v>31</v>
      </c>
      <c r="F107" s="3">
        <f>E107/SUM(E107:E111)</f>
        <v>6.9662921348314602E-2</v>
      </c>
    </row>
    <row r="108" spans="1:6" ht="16.5" customHeight="1" x14ac:dyDescent="0.25">
      <c r="A108" s="6" t="s">
        <v>44</v>
      </c>
      <c r="B108" s="7" t="s">
        <v>33</v>
      </c>
      <c r="C108" s="1" t="s">
        <v>49</v>
      </c>
      <c r="D108" s="1">
        <v>2</v>
      </c>
      <c r="E108" s="2">
        <v>334</v>
      </c>
      <c r="F108" s="3">
        <f>E108/SUM(E107:E111)</f>
        <v>0.75056179775280896</v>
      </c>
    </row>
    <row r="109" spans="1:6" ht="16.5" customHeight="1" x14ac:dyDescent="0.25">
      <c r="A109" s="6" t="s">
        <v>44</v>
      </c>
      <c r="B109" s="7" t="s">
        <v>33</v>
      </c>
      <c r="C109" s="1" t="s">
        <v>50</v>
      </c>
      <c r="D109" s="1">
        <v>3</v>
      </c>
      <c r="E109" s="2">
        <v>70</v>
      </c>
      <c r="F109" s="3">
        <f>E109/SUM(E107:E111)</f>
        <v>0.15730337078651685</v>
      </c>
    </row>
    <row r="110" spans="1:6" ht="16.5" customHeight="1" x14ac:dyDescent="0.25">
      <c r="A110" s="6" t="s">
        <v>44</v>
      </c>
      <c r="B110" s="7" t="s">
        <v>33</v>
      </c>
      <c r="C110" s="1" t="s">
        <v>51</v>
      </c>
      <c r="D110" s="1">
        <v>4</v>
      </c>
      <c r="E110" s="2">
        <v>6</v>
      </c>
      <c r="F110" s="3">
        <f>E110/SUM(E107:E111)</f>
        <v>1.3483146067415731E-2</v>
      </c>
    </row>
    <row r="111" spans="1:6" ht="16.5" customHeight="1" x14ac:dyDescent="0.25">
      <c r="A111" s="6" t="s">
        <v>44</v>
      </c>
      <c r="B111" s="7" t="s">
        <v>33</v>
      </c>
      <c r="C111" s="1" t="s">
        <v>52</v>
      </c>
      <c r="D111" s="1">
        <v>5</v>
      </c>
      <c r="E111" s="2">
        <v>4</v>
      </c>
      <c r="F111" s="3">
        <f>E111/SUM(E107:E111)</f>
        <v>8.988764044943821E-3</v>
      </c>
    </row>
    <row r="112" spans="1:6" ht="16.5" customHeight="1" x14ac:dyDescent="0.25">
      <c r="A112" s="6" t="s">
        <v>45</v>
      </c>
      <c r="B112" s="7" t="s">
        <v>18</v>
      </c>
      <c r="C112" s="1" t="s">
        <v>48</v>
      </c>
      <c r="D112" s="1">
        <v>1</v>
      </c>
      <c r="E112" s="2">
        <v>94</v>
      </c>
      <c r="F112" s="3">
        <f>E112/SUM(E112:E116)</f>
        <v>8.6635944700460835E-2</v>
      </c>
    </row>
    <row r="113" spans="1:6" ht="16.5" customHeight="1" x14ac:dyDescent="0.25">
      <c r="A113" s="6" t="s">
        <v>45</v>
      </c>
      <c r="B113" s="7" t="s">
        <v>18</v>
      </c>
      <c r="C113" s="1" t="s">
        <v>49</v>
      </c>
      <c r="D113" s="1">
        <v>2</v>
      </c>
      <c r="E113" s="2">
        <v>554</v>
      </c>
      <c r="F113" s="3">
        <f>E113/SUM(E112:E116)</f>
        <v>0.51059907834101381</v>
      </c>
    </row>
    <row r="114" spans="1:6" ht="16.5" customHeight="1" x14ac:dyDescent="0.25">
      <c r="A114" s="6" t="s">
        <v>45</v>
      </c>
      <c r="B114" s="7" t="s">
        <v>18</v>
      </c>
      <c r="C114" s="1" t="s">
        <v>50</v>
      </c>
      <c r="D114" s="1">
        <v>3</v>
      </c>
      <c r="E114" s="2">
        <v>381</v>
      </c>
      <c r="F114" s="3">
        <f>E114/SUM(E112:E116)</f>
        <v>0.35115207373271889</v>
      </c>
    </row>
    <row r="115" spans="1:6" ht="16.5" customHeight="1" x14ac:dyDescent="0.25">
      <c r="A115" s="6" t="s">
        <v>45</v>
      </c>
      <c r="B115" s="7" t="s">
        <v>18</v>
      </c>
      <c r="C115" s="1" t="s">
        <v>51</v>
      </c>
      <c r="D115" s="1">
        <v>4</v>
      </c>
      <c r="E115" s="2">
        <v>38</v>
      </c>
      <c r="F115" s="3">
        <f>E115/SUM(E112:E116)</f>
        <v>3.5023041474654376E-2</v>
      </c>
    </row>
    <row r="116" spans="1:6" ht="16.5" customHeight="1" x14ac:dyDescent="0.25">
      <c r="A116" s="6" t="s">
        <v>45</v>
      </c>
      <c r="B116" s="7" t="s">
        <v>18</v>
      </c>
      <c r="C116" s="1" t="s">
        <v>52</v>
      </c>
      <c r="D116" s="1">
        <v>5</v>
      </c>
      <c r="E116" s="2">
        <v>18</v>
      </c>
      <c r="F116" s="3">
        <f>E116/SUM(E112:E116)</f>
        <v>1.6589861751152075E-2</v>
      </c>
    </row>
    <row r="117" spans="1:6" ht="16.5" customHeight="1" x14ac:dyDescent="0.25">
      <c r="A117" s="6" t="s">
        <v>45</v>
      </c>
      <c r="B117" s="7" t="s">
        <v>19</v>
      </c>
      <c r="C117" s="1" t="s">
        <v>48</v>
      </c>
      <c r="D117" s="1">
        <v>1</v>
      </c>
      <c r="E117" s="2">
        <v>187</v>
      </c>
      <c r="F117" s="3">
        <f>E117/SUM(E117:E121)</f>
        <v>0.23730964467005075</v>
      </c>
    </row>
    <row r="118" spans="1:6" ht="16.5" customHeight="1" x14ac:dyDescent="0.25">
      <c r="A118" s="6" t="s">
        <v>45</v>
      </c>
      <c r="B118" s="7" t="s">
        <v>19</v>
      </c>
      <c r="C118" s="1" t="s">
        <v>49</v>
      </c>
      <c r="D118" s="1">
        <v>2</v>
      </c>
      <c r="E118" s="2">
        <v>368</v>
      </c>
      <c r="F118" s="3">
        <f>E118/SUM(E117:E121)</f>
        <v>0.46700507614213199</v>
      </c>
    </row>
    <row r="119" spans="1:6" ht="16.5" customHeight="1" x14ac:dyDescent="0.25">
      <c r="A119" s="6" t="s">
        <v>45</v>
      </c>
      <c r="B119" s="7" t="s">
        <v>19</v>
      </c>
      <c r="C119" s="1" t="s">
        <v>50</v>
      </c>
      <c r="D119" s="1">
        <v>3</v>
      </c>
      <c r="E119" s="2">
        <v>205</v>
      </c>
      <c r="F119" s="3">
        <f>E119/SUM(E117:E121)</f>
        <v>0.26015228426395937</v>
      </c>
    </row>
    <row r="120" spans="1:6" ht="16.5" customHeight="1" x14ac:dyDescent="0.25">
      <c r="A120" s="6" t="s">
        <v>45</v>
      </c>
      <c r="B120" s="7" t="s">
        <v>19</v>
      </c>
      <c r="C120" s="1" t="s">
        <v>51</v>
      </c>
      <c r="D120" s="1">
        <v>4</v>
      </c>
      <c r="E120" s="2">
        <v>22</v>
      </c>
      <c r="F120" s="3">
        <f>E120/SUM(E117:E121)</f>
        <v>2.7918781725888325E-2</v>
      </c>
    </row>
    <row r="121" spans="1:6" ht="16.5" customHeight="1" x14ac:dyDescent="0.25">
      <c r="A121" s="6" t="s">
        <v>45</v>
      </c>
      <c r="B121" s="7" t="s">
        <v>19</v>
      </c>
      <c r="C121" s="1" t="s">
        <v>52</v>
      </c>
      <c r="D121" s="1">
        <v>5</v>
      </c>
      <c r="E121" s="2">
        <v>6</v>
      </c>
      <c r="F121" s="3">
        <f>E121/SUM(E117:E121)</f>
        <v>7.6142131979695434E-3</v>
      </c>
    </row>
    <row r="122" spans="1:6" ht="16.5" customHeight="1" x14ac:dyDescent="0.25">
      <c r="A122" s="6" t="s">
        <v>45</v>
      </c>
      <c r="B122" s="7" t="s">
        <v>20</v>
      </c>
      <c r="C122" s="1" t="s">
        <v>48</v>
      </c>
      <c r="D122" s="1">
        <v>1</v>
      </c>
      <c r="E122" s="2">
        <v>18</v>
      </c>
      <c r="F122" s="3">
        <f>E122/SUM(E122:E126)</f>
        <v>3.237410071942446E-2</v>
      </c>
    </row>
    <row r="123" spans="1:6" ht="16.5" customHeight="1" x14ac:dyDescent="0.25">
      <c r="A123" s="6" t="s">
        <v>45</v>
      </c>
      <c r="B123" s="7" t="s">
        <v>20</v>
      </c>
      <c r="C123" s="1" t="s">
        <v>49</v>
      </c>
      <c r="D123" s="1">
        <v>2</v>
      </c>
      <c r="E123" s="2">
        <v>463</v>
      </c>
      <c r="F123" s="3">
        <f>E123/SUM(E122:E126)</f>
        <v>0.83273381294964033</v>
      </c>
    </row>
    <row r="124" spans="1:6" ht="16.5" customHeight="1" x14ac:dyDescent="0.25">
      <c r="A124" s="6" t="s">
        <v>45</v>
      </c>
      <c r="B124" s="7" t="s">
        <v>20</v>
      </c>
      <c r="C124" s="1" t="s">
        <v>50</v>
      </c>
      <c r="D124" s="1">
        <v>3</v>
      </c>
      <c r="E124" s="2">
        <v>55</v>
      </c>
      <c r="F124" s="3">
        <f>E124/SUM(E122:E126)</f>
        <v>9.8920863309352514E-2</v>
      </c>
    </row>
    <row r="125" spans="1:6" ht="16.5" customHeight="1" x14ac:dyDescent="0.25">
      <c r="A125" s="6" t="s">
        <v>45</v>
      </c>
      <c r="B125" s="7" t="s">
        <v>20</v>
      </c>
      <c r="C125" s="1" t="s">
        <v>51</v>
      </c>
      <c r="D125" s="1">
        <v>4</v>
      </c>
      <c r="E125" s="2">
        <v>16</v>
      </c>
      <c r="F125" s="3">
        <f>E125/SUM(E122:E126)</f>
        <v>2.8776978417266189E-2</v>
      </c>
    </row>
    <row r="126" spans="1:6" ht="16.5" customHeight="1" x14ac:dyDescent="0.25">
      <c r="A126" s="6" t="s">
        <v>45</v>
      </c>
      <c r="B126" s="7" t="s">
        <v>20</v>
      </c>
      <c r="C126" s="1" t="s">
        <v>52</v>
      </c>
      <c r="D126" s="1">
        <v>5</v>
      </c>
      <c r="E126" s="2">
        <v>4</v>
      </c>
      <c r="F126" s="3">
        <f>E126/SUM(E122:E126)</f>
        <v>7.1942446043165471E-3</v>
      </c>
    </row>
    <row r="127" spans="1:6" ht="16.5" customHeight="1" x14ac:dyDescent="0.25">
      <c r="A127" s="6" t="s">
        <v>45</v>
      </c>
      <c r="B127" s="7" t="s">
        <v>21</v>
      </c>
      <c r="C127" s="1" t="s">
        <v>48</v>
      </c>
      <c r="D127" s="1">
        <v>1</v>
      </c>
      <c r="E127" s="2">
        <v>44</v>
      </c>
      <c r="F127" s="3">
        <f>E127/SUM(E127:E131)</f>
        <v>0.13496932515337423</v>
      </c>
    </row>
    <row r="128" spans="1:6" ht="16.5" customHeight="1" x14ac:dyDescent="0.25">
      <c r="A128" s="6" t="s">
        <v>45</v>
      </c>
      <c r="B128" s="7" t="s">
        <v>21</v>
      </c>
      <c r="C128" s="1" t="s">
        <v>49</v>
      </c>
      <c r="D128" s="1">
        <v>2</v>
      </c>
      <c r="E128" s="2">
        <v>179</v>
      </c>
      <c r="F128" s="3">
        <f>E128/SUM(E127:E131)</f>
        <v>0.54907975460122704</v>
      </c>
    </row>
    <row r="129" spans="1:6" ht="16.5" customHeight="1" x14ac:dyDescent="0.25">
      <c r="A129" s="6" t="s">
        <v>45</v>
      </c>
      <c r="B129" s="7" t="s">
        <v>21</v>
      </c>
      <c r="C129" s="1" t="s">
        <v>50</v>
      </c>
      <c r="D129" s="1">
        <v>3</v>
      </c>
      <c r="E129" s="2">
        <v>91</v>
      </c>
      <c r="F129" s="3">
        <f>E129/SUM(E127:E131)</f>
        <v>0.27914110429447853</v>
      </c>
    </row>
    <row r="130" spans="1:6" ht="16.5" customHeight="1" x14ac:dyDescent="0.25">
      <c r="A130" s="6" t="s">
        <v>45</v>
      </c>
      <c r="B130" s="7" t="s">
        <v>21</v>
      </c>
      <c r="C130" s="1" t="s">
        <v>51</v>
      </c>
      <c r="D130" s="1">
        <v>4</v>
      </c>
      <c r="E130" s="2">
        <v>6</v>
      </c>
      <c r="F130" s="3">
        <f>E130/SUM(E127:E131)</f>
        <v>1.8404907975460124E-2</v>
      </c>
    </row>
    <row r="131" spans="1:6" ht="16.5" customHeight="1" x14ac:dyDescent="0.25">
      <c r="A131" s="6" t="s">
        <v>45</v>
      </c>
      <c r="B131" s="7" t="s">
        <v>21</v>
      </c>
      <c r="C131" s="1" t="s">
        <v>52</v>
      </c>
      <c r="D131" s="1">
        <v>5</v>
      </c>
      <c r="E131" s="2">
        <v>6</v>
      </c>
      <c r="F131" s="3">
        <f>E131/SUM(E127:E131)</f>
        <v>1.8404907975460124E-2</v>
      </c>
    </row>
    <row r="132" spans="1:6" ht="16.5" customHeight="1" x14ac:dyDescent="0.25">
      <c r="A132" s="6" t="s">
        <v>45</v>
      </c>
      <c r="B132" s="7" t="s">
        <v>22</v>
      </c>
      <c r="C132" s="1" t="s">
        <v>48</v>
      </c>
      <c r="D132" s="1">
        <v>1</v>
      </c>
      <c r="E132" s="2">
        <v>53</v>
      </c>
      <c r="F132" s="3">
        <f>E132/SUM(E132:E136)</f>
        <v>7.9819277108433728E-2</v>
      </c>
    </row>
    <row r="133" spans="1:6" ht="16.5" customHeight="1" x14ac:dyDescent="0.25">
      <c r="A133" s="6" t="s">
        <v>45</v>
      </c>
      <c r="B133" s="7" t="s">
        <v>22</v>
      </c>
      <c r="C133" s="1" t="s">
        <v>49</v>
      </c>
      <c r="D133" s="1">
        <v>2</v>
      </c>
      <c r="E133" s="2">
        <v>422</v>
      </c>
      <c r="F133" s="3">
        <f>E133/SUM(E132:E136)</f>
        <v>0.63554216867469882</v>
      </c>
    </row>
    <row r="134" spans="1:6" ht="16.5" customHeight="1" x14ac:dyDescent="0.25">
      <c r="A134" s="6" t="s">
        <v>45</v>
      </c>
      <c r="B134" s="7" t="s">
        <v>22</v>
      </c>
      <c r="C134" s="1" t="s">
        <v>50</v>
      </c>
      <c r="D134" s="1">
        <v>3</v>
      </c>
      <c r="E134" s="2">
        <v>150</v>
      </c>
      <c r="F134" s="3">
        <f>E134/SUM(E132:E136)</f>
        <v>0.22590361445783133</v>
      </c>
    </row>
    <row r="135" spans="1:6" ht="16.5" customHeight="1" x14ac:dyDescent="0.25">
      <c r="A135" s="6" t="s">
        <v>45</v>
      </c>
      <c r="B135" s="7" t="s">
        <v>22</v>
      </c>
      <c r="C135" s="1" t="s">
        <v>51</v>
      </c>
      <c r="D135" s="1">
        <v>4</v>
      </c>
      <c r="E135" s="2">
        <v>34</v>
      </c>
      <c r="F135" s="3">
        <f>E135/SUM(E132:E136)</f>
        <v>5.1204819277108432E-2</v>
      </c>
    </row>
    <row r="136" spans="1:6" ht="16.5" customHeight="1" x14ac:dyDescent="0.25">
      <c r="A136" s="6" t="s">
        <v>45</v>
      </c>
      <c r="B136" s="7" t="s">
        <v>22</v>
      </c>
      <c r="C136" s="1" t="s">
        <v>52</v>
      </c>
      <c r="D136" s="1">
        <v>5</v>
      </c>
      <c r="E136" s="2">
        <v>5</v>
      </c>
      <c r="F136" s="3">
        <f>E136/SUM(E132:E136)</f>
        <v>7.5301204819277108E-3</v>
      </c>
    </row>
    <row r="137" spans="1:6" ht="16.5" customHeight="1" x14ac:dyDescent="0.25">
      <c r="A137" s="6" t="s">
        <v>45</v>
      </c>
      <c r="B137" s="7" t="s">
        <v>23</v>
      </c>
      <c r="C137" s="1" t="s">
        <v>48</v>
      </c>
      <c r="D137" s="1">
        <v>1</v>
      </c>
      <c r="E137" s="2">
        <v>108</v>
      </c>
      <c r="F137" s="3">
        <f>E137/SUM(E137:E141)</f>
        <v>0.13705583756345177</v>
      </c>
    </row>
    <row r="138" spans="1:6" ht="16.5" customHeight="1" x14ac:dyDescent="0.25">
      <c r="A138" s="6" t="s">
        <v>45</v>
      </c>
      <c r="B138" s="7" t="s">
        <v>23</v>
      </c>
      <c r="C138" s="1" t="s">
        <v>49</v>
      </c>
      <c r="D138" s="1">
        <v>2</v>
      </c>
      <c r="E138" s="2">
        <v>471</v>
      </c>
      <c r="F138" s="3">
        <f>E138/SUM(E137:E141)</f>
        <v>0.59771573604060912</v>
      </c>
    </row>
    <row r="139" spans="1:6" ht="16.5" customHeight="1" x14ac:dyDescent="0.25">
      <c r="A139" s="6" t="s">
        <v>45</v>
      </c>
      <c r="B139" s="7" t="s">
        <v>23</v>
      </c>
      <c r="C139" s="1" t="s">
        <v>50</v>
      </c>
      <c r="D139" s="1">
        <v>3</v>
      </c>
      <c r="E139" s="2">
        <v>188</v>
      </c>
      <c r="F139" s="3">
        <f>E139/SUM(E137:E141)</f>
        <v>0.23857868020304568</v>
      </c>
    </row>
    <row r="140" spans="1:6" ht="16.5" customHeight="1" x14ac:dyDescent="0.25">
      <c r="A140" s="6" t="s">
        <v>45</v>
      </c>
      <c r="B140" s="7" t="s">
        <v>23</v>
      </c>
      <c r="C140" s="1" t="s">
        <v>51</v>
      </c>
      <c r="D140" s="1">
        <v>4</v>
      </c>
      <c r="E140" s="2">
        <v>14</v>
      </c>
      <c r="F140" s="3">
        <f>E140/SUM(E137:E141)</f>
        <v>1.7766497461928935E-2</v>
      </c>
    </row>
    <row r="141" spans="1:6" ht="16.5" customHeight="1" x14ac:dyDescent="0.25">
      <c r="A141" s="6" t="s">
        <v>45</v>
      </c>
      <c r="B141" s="7" t="s">
        <v>23</v>
      </c>
      <c r="C141" s="1" t="s">
        <v>52</v>
      </c>
      <c r="D141" s="1">
        <v>5</v>
      </c>
      <c r="E141" s="2">
        <v>7</v>
      </c>
      <c r="F141" s="3">
        <f>E141/SUM(E137:E141)</f>
        <v>8.8832487309644676E-3</v>
      </c>
    </row>
    <row r="142" spans="1:6" ht="16.5" customHeight="1" x14ac:dyDescent="0.25">
      <c r="A142" s="6" t="s">
        <v>45</v>
      </c>
      <c r="B142" s="7" t="s">
        <v>24</v>
      </c>
      <c r="C142" s="1" t="s">
        <v>48</v>
      </c>
      <c r="D142" s="1">
        <v>1</v>
      </c>
      <c r="E142" s="2">
        <v>37</v>
      </c>
      <c r="F142" s="3">
        <f>E142/SUM(E142:E146)</f>
        <v>0.11044776119402985</v>
      </c>
    </row>
    <row r="143" spans="1:6" ht="16.5" customHeight="1" x14ac:dyDescent="0.25">
      <c r="A143" s="6" t="s">
        <v>45</v>
      </c>
      <c r="B143" s="7" t="s">
        <v>24</v>
      </c>
      <c r="C143" s="1" t="s">
        <v>49</v>
      </c>
      <c r="D143" s="1">
        <v>2</v>
      </c>
      <c r="E143" s="2">
        <v>216</v>
      </c>
      <c r="F143" s="3">
        <f>E143/SUM(E142:E146)</f>
        <v>0.64477611940298507</v>
      </c>
    </row>
    <row r="144" spans="1:6" ht="16.5" customHeight="1" x14ac:dyDescent="0.25">
      <c r="A144" s="6" t="s">
        <v>45</v>
      </c>
      <c r="B144" s="7" t="s">
        <v>24</v>
      </c>
      <c r="C144" s="1" t="s">
        <v>50</v>
      </c>
      <c r="D144" s="1">
        <v>3</v>
      </c>
      <c r="E144" s="2">
        <v>60</v>
      </c>
      <c r="F144" s="3">
        <f>E144/SUM(E142:E146)</f>
        <v>0.17910447761194029</v>
      </c>
    </row>
    <row r="145" spans="1:6" ht="16.5" customHeight="1" x14ac:dyDescent="0.25">
      <c r="A145" s="6" t="s">
        <v>45</v>
      </c>
      <c r="B145" s="7" t="s">
        <v>24</v>
      </c>
      <c r="C145" s="1" t="s">
        <v>51</v>
      </c>
      <c r="D145" s="1">
        <v>4</v>
      </c>
      <c r="E145" s="2">
        <v>17</v>
      </c>
      <c r="F145" s="3">
        <f>E145/SUM(E142:E146)</f>
        <v>5.0746268656716415E-2</v>
      </c>
    </row>
    <row r="146" spans="1:6" ht="16.5" customHeight="1" x14ac:dyDescent="0.25">
      <c r="A146" s="6" t="s">
        <v>45</v>
      </c>
      <c r="B146" s="7" t="s">
        <v>24</v>
      </c>
      <c r="C146" s="1" t="s">
        <v>52</v>
      </c>
      <c r="D146" s="1">
        <v>5</v>
      </c>
      <c r="E146" s="2">
        <v>5</v>
      </c>
      <c r="F146" s="3">
        <f>E146/SUM(E142:E146)</f>
        <v>1.4925373134328358E-2</v>
      </c>
    </row>
    <row r="147" spans="1:6" ht="16.5" customHeight="1" x14ac:dyDescent="0.25">
      <c r="A147" s="6" t="s">
        <v>45</v>
      </c>
      <c r="B147" s="7" t="s">
        <v>25</v>
      </c>
      <c r="C147" s="1" t="s">
        <v>48</v>
      </c>
      <c r="D147" s="1">
        <v>1</v>
      </c>
      <c r="E147" s="2">
        <v>40</v>
      </c>
      <c r="F147" s="3">
        <f>E147/SUM(E147:E151)</f>
        <v>0.13157894736842105</v>
      </c>
    </row>
    <row r="148" spans="1:6" ht="16.5" customHeight="1" x14ac:dyDescent="0.25">
      <c r="A148" s="6" t="s">
        <v>45</v>
      </c>
      <c r="B148" s="7" t="s">
        <v>25</v>
      </c>
      <c r="C148" s="1" t="s">
        <v>49</v>
      </c>
      <c r="D148" s="1">
        <v>2</v>
      </c>
      <c r="E148" s="2">
        <v>210</v>
      </c>
      <c r="F148" s="3">
        <f>E148/SUM(E147:E151)</f>
        <v>0.69078947368421051</v>
      </c>
    </row>
    <row r="149" spans="1:6" ht="16.5" customHeight="1" x14ac:dyDescent="0.25">
      <c r="A149" s="6" t="s">
        <v>45</v>
      </c>
      <c r="B149" s="7" t="s">
        <v>25</v>
      </c>
      <c r="C149" s="1" t="s">
        <v>50</v>
      </c>
      <c r="D149" s="1">
        <v>3</v>
      </c>
      <c r="E149" s="2">
        <v>49</v>
      </c>
      <c r="F149" s="3">
        <f>E149/SUM(E147:E151)</f>
        <v>0.16118421052631579</v>
      </c>
    </row>
    <row r="150" spans="1:6" ht="16.5" customHeight="1" x14ac:dyDescent="0.25">
      <c r="A150" s="6" t="s">
        <v>45</v>
      </c>
      <c r="B150" s="7" t="s">
        <v>25</v>
      </c>
      <c r="C150" s="1" t="s">
        <v>51</v>
      </c>
      <c r="D150" s="1">
        <v>4</v>
      </c>
      <c r="E150" s="2">
        <v>2</v>
      </c>
      <c r="F150" s="3">
        <f>E150/SUM(E147:E151)</f>
        <v>6.5789473684210523E-3</v>
      </c>
    </row>
    <row r="151" spans="1:6" ht="16.5" customHeight="1" x14ac:dyDescent="0.25">
      <c r="A151" s="6" t="s">
        <v>45</v>
      </c>
      <c r="B151" s="7" t="s">
        <v>25</v>
      </c>
      <c r="C151" s="1" t="s">
        <v>52</v>
      </c>
      <c r="D151" s="1">
        <v>5</v>
      </c>
      <c r="E151" s="2">
        <v>3</v>
      </c>
      <c r="F151" s="3">
        <f>E151/SUM(E147:E151)</f>
        <v>9.8684210526315784E-3</v>
      </c>
    </row>
    <row r="152" spans="1:6" ht="16.5" customHeight="1" x14ac:dyDescent="0.25">
      <c r="A152" s="6" t="s">
        <v>46</v>
      </c>
      <c r="B152" s="7" t="s">
        <v>34</v>
      </c>
      <c r="C152" s="1" t="s">
        <v>48</v>
      </c>
      <c r="D152" s="1">
        <v>1</v>
      </c>
      <c r="E152" s="2">
        <v>12</v>
      </c>
      <c r="F152" s="3">
        <f>E152/SUM(E152:E156)</f>
        <v>2.1201413427561839E-2</v>
      </c>
    </row>
    <row r="153" spans="1:6" ht="16.5" customHeight="1" x14ac:dyDescent="0.25">
      <c r="A153" s="6" t="s">
        <v>46</v>
      </c>
      <c r="B153" s="7" t="s">
        <v>34</v>
      </c>
      <c r="C153" s="1" t="s">
        <v>49</v>
      </c>
      <c r="D153" s="1">
        <v>2</v>
      </c>
      <c r="E153" s="2">
        <v>58</v>
      </c>
      <c r="F153" s="3">
        <f>E153/SUM(E152:E156)</f>
        <v>0.10247349823321555</v>
      </c>
    </row>
    <row r="154" spans="1:6" ht="16.5" customHeight="1" x14ac:dyDescent="0.25">
      <c r="A154" s="6" t="s">
        <v>46</v>
      </c>
      <c r="B154" s="7" t="s">
        <v>34</v>
      </c>
      <c r="C154" s="1" t="s">
        <v>50</v>
      </c>
      <c r="D154" s="1">
        <v>3</v>
      </c>
      <c r="E154" s="2">
        <v>490</v>
      </c>
      <c r="F154" s="3">
        <f>E154/SUM(E152:E156)</f>
        <v>0.86572438162544174</v>
      </c>
    </row>
    <row r="155" spans="1:6" ht="16.5" customHeight="1" x14ac:dyDescent="0.25">
      <c r="A155" s="6" t="s">
        <v>46</v>
      </c>
      <c r="B155" s="7" t="s">
        <v>34</v>
      </c>
      <c r="C155" s="1" t="s">
        <v>51</v>
      </c>
      <c r="D155" s="1">
        <v>4</v>
      </c>
      <c r="E155" s="2">
        <v>3</v>
      </c>
      <c r="F155" s="3">
        <f>E155/SUM(E152:E156)</f>
        <v>5.3003533568904597E-3</v>
      </c>
    </row>
    <row r="156" spans="1:6" ht="16.5" customHeight="1" x14ac:dyDescent="0.25">
      <c r="A156" s="6" t="s">
        <v>46</v>
      </c>
      <c r="B156" s="7" t="s">
        <v>34</v>
      </c>
      <c r="C156" s="1" t="s">
        <v>52</v>
      </c>
      <c r="D156" s="1">
        <v>5</v>
      </c>
      <c r="E156" s="2">
        <v>3</v>
      </c>
      <c r="F156" s="3">
        <f>E156/SUM(E152:E156)</f>
        <v>5.3003533568904597E-3</v>
      </c>
    </row>
    <row r="157" spans="1:6" ht="16.5" customHeight="1" x14ac:dyDescent="0.25">
      <c r="A157" s="6" t="s">
        <v>46</v>
      </c>
      <c r="B157" s="7" t="s">
        <v>35</v>
      </c>
      <c r="C157" s="1" t="s">
        <v>48</v>
      </c>
      <c r="D157" s="1">
        <v>1</v>
      </c>
      <c r="E157" s="2">
        <v>3</v>
      </c>
      <c r="F157" s="3">
        <f>E157/SUM(E157:E161)</f>
        <v>1.1029411764705883E-2</v>
      </c>
    </row>
    <row r="158" spans="1:6" ht="16.5" customHeight="1" x14ac:dyDescent="0.25">
      <c r="A158" s="6" t="s">
        <v>46</v>
      </c>
      <c r="B158" s="7" t="s">
        <v>35</v>
      </c>
      <c r="C158" s="1" t="s">
        <v>49</v>
      </c>
      <c r="D158" s="1">
        <v>2</v>
      </c>
      <c r="E158" s="2">
        <v>48</v>
      </c>
      <c r="F158" s="3">
        <f>E158/SUM(E157:E161)</f>
        <v>0.17647058823529413</v>
      </c>
    </row>
    <row r="159" spans="1:6" ht="16.5" customHeight="1" x14ac:dyDescent="0.25">
      <c r="A159" s="6" t="s">
        <v>46</v>
      </c>
      <c r="B159" s="7" t="s">
        <v>35</v>
      </c>
      <c r="C159" s="1" t="s">
        <v>50</v>
      </c>
      <c r="D159" s="1">
        <v>3</v>
      </c>
      <c r="E159" s="2">
        <v>220</v>
      </c>
      <c r="F159" s="3">
        <f>E159/SUM(E157:E161)</f>
        <v>0.80882352941176472</v>
      </c>
    </row>
    <row r="160" spans="1:6" ht="16.5" customHeight="1" x14ac:dyDescent="0.25">
      <c r="A160" s="6" t="s">
        <v>46</v>
      </c>
      <c r="B160" s="7" t="s">
        <v>35</v>
      </c>
      <c r="C160" s="1" t="s">
        <v>51</v>
      </c>
      <c r="D160" s="1">
        <v>4</v>
      </c>
      <c r="E160" s="2">
        <v>0</v>
      </c>
      <c r="F160" s="3">
        <f>E160/SUM(E157:E161)</f>
        <v>0</v>
      </c>
    </row>
    <row r="161" spans="1:6" ht="16.5" customHeight="1" x14ac:dyDescent="0.25">
      <c r="A161" s="6" t="s">
        <v>46</v>
      </c>
      <c r="B161" s="7" t="s">
        <v>35</v>
      </c>
      <c r="C161" s="1" t="s">
        <v>52</v>
      </c>
      <c r="D161" s="1">
        <v>5</v>
      </c>
      <c r="E161" s="2">
        <v>1</v>
      </c>
      <c r="F161" s="3">
        <f>E161/SUM(E157:E161)</f>
        <v>3.6764705882352941E-3</v>
      </c>
    </row>
    <row r="162" spans="1:6" ht="16.5" customHeight="1" x14ac:dyDescent="0.25">
      <c r="A162" s="6" t="s">
        <v>46</v>
      </c>
      <c r="B162" s="7" t="s">
        <v>36</v>
      </c>
      <c r="C162" s="1" t="s">
        <v>48</v>
      </c>
      <c r="D162" s="1">
        <v>1</v>
      </c>
      <c r="E162" s="2">
        <v>5</v>
      </c>
      <c r="F162" s="3">
        <f>E162/SUM(E162:E166)</f>
        <v>1.3513513513513514E-2</v>
      </c>
    </row>
    <row r="163" spans="1:6" ht="16.5" customHeight="1" x14ac:dyDescent="0.25">
      <c r="A163" s="6" t="s">
        <v>46</v>
      </c>
      <c r="B163" s="7" t="s">
        <v>36</v>
      </c>
      <c r="C163" s="1" t="s">
        <v>49</v>
      </c>
      <c r="D163" s="1">
        <v>2</v>
      </c>
      <c r="E163" s="2">
        <v>62</v>
      </c>
      <c r="F163" s="3">
        <f>E163/SUM(E162:E166)</f>
        <v>0.16756756756756758</v>
      </c>
    </row>
    <row r="164" spans="1:6" ht="16.5" customHeight="1" x14ac:dyDescent="0.25">
      <c r="A164" s="6" t="s">
        <v>46</v>
      </c>
      <c r="B164" s="7" t="s">
        <v>36</v>
      </c>
      <c r="C164" s="1" t="s">
        <v>50</v>
      </c>
      <c r="D164" s="1">
        <v>3</v>
      </c>
      <c r="E164" s="2">
        <v>301</v>
      </c>
      <c r="F164" s="3">
        <f>E164/SUM(E162:E166)</f>
        <v>0.81351351351351353</v>
      </c>
    </row>
    <row r="165" spans="1:6" ht="16.5" customHeight="1" x14ac:dyDescent="0.25">
      <c r="A165" s="6" t="s">
        <v>46</v>
      </c>
      <c r="B165" s="7" t="s">
        <v>36</v>
      </c>
      <c r="C165" s="1" t="s">
        <v>51</v>
      </c>
      <c r="D165" s="1">
        <v>4</v>
      </c>
      <c r="E165" s="2">
        <v>1</v>
      </c>
      <c r="F165" s="3">
        <f>E165/SUM(E162:E166)</f>
        <v>2.7027027027027029E-3</v>
      </c>
    </row>
    <row r="166" spans="1:6" ht="16.5" customHeight="1" x14ac:dyDescent="0.25">
      <c r="A166" s="6" t="s">
        <v>46</v>
      </c>
      <c r="B166" s="7" t="s">
        <v>36</v>
      </c>
      <c r="C166" s="1" t="s">
        <v>52</v>
      </c>
      <c r="D166" s="1">
        <v>5</v>
      </c>
      <c r="E166" s="2">
        <v>1</v>
      </c>
      <c r="F166" s="3">
        <f>E166/SUM(E162:E166)</f>
        <v>2.7027027027027029E-3</v>
      </c>
    </row>
    <row r="167" spans="1:6" ht="16.5" customHeight="1" x14ac:dyDescent="0.25">
      <c r="A167" s="6" t="s">
        <v>46</v>
      </c>
      <c r="B167" s="7" t="s">
        <v>37</v>
      </c>
      <c r="C167" s="1" t="s">
        <v>48</v>
      </c>
      <c r="D167" s="1">
        <v>1</v>
      </c>
      <c r="E167" s="2">
        <v>22</v>
      </c>
      <c r="F167" s="3">
        <f>E167/SUM(E167:E171)</f>
        <v>3.1073446327683617E-2</v>
      </c>
    </row>
    <row r="168" spans="1:6" ht="16.5" customHeight="1" x14ac:dyDescent="0.25">
      <c r="A168" s="6" t="s">
        <v>46</v>
      </c>
      <c r="B168" s="7" t="s">
        <v>37</v>
      </c>
      <c r="C168" s="1" t="s">
        <v>49</v>
      </c>
      <c r="D168" s="1">
        <v>2</v>
      </c>
      <c r="E168" s="2">
        <v>109</v>
      </c>
      <c r="F168" s="3">
        <f>E168/SUM(E167:E171)</f>
        <v>0.153954802259887</v>
      </c>
    </row>
    <row r="169" spans="1:6" ht="16.5" customHeight="1" x14ac:dyDescent="0.25">
      <c r="A169" s="6" t="s">
        <v>46</v>
      </c>
      <c r="B169" s="7" t="s">
        <v>37</v>
      </c>
      <c r="C169" s="1" t="s">
        <v>50</v>
      </c>
      <c r="D169" s="1">
        <v>3</v>
      </c>
      <c r="E169" s="2">
        <v>570</v>
      </c>
      <c r="F169" s="3">
        <f>E169/SUM(E167:E171)</f>
        <v>0.80508474576271183</v>
      </c>
    </row>
    <row r="170" spans="1:6" ht="16.5" customHeight="1" x14ac:dyDescent="0.25">
      <c r="A170" s="6" t="s">
        <v>46</v>
      </c>
      <c r="B170" s="7" t="s">
        <v>37</v>
      </c>
      <c r="C170" s="1" t="s">
        <v>51</v>
      </c>
      <c r="D170" s="1">
        <v>4</v>
      </c>
      <c r="E170" s="2">
        <v>2</v>
      </c>
      <c r="F170" s="3">
        <f>E170/SUM(E167:E171)</f>
        <v>2.8248587570621469E-3</v>
      </c>
    </row>
    <row r="171" spans="1:6" ht="16.5" customHeight="1" x14ac:dyDescent="0.25">
      <c r="A171" s="6" t="s">
        <v>46</v>
      </c>
      <c r="B171" s="7" t="s">
        <v>37</v>
      </c>
      <c r="C171" s="1" t="s">
        <v>52</v>
      </c>
      <c r="D171" s="1">
        <v>5</v>
      </c>
      <c r="E171" s="2">
        <v>5</v>
      </c>
      <c r="F171" s="3">
        <f>E171/SUM(E167:E171)</f>
        <v>7.0621468926553672E-3</v>
      </c>
    </row>
    <row r="172" spans="1:6" ht="16.5" customHeight="1" x14ac:dyDescent="0.25">
      <c r="A172" s="6" t="s">
        <v>46</v>
      </c>
      <c r="B172" s="7" t="s">
        <v>38</v>
      </c>
      <c r="C172" s="1" t="s">
        <v>48</v>
      </c>
      <c r="D172" s="1">
        <v>1</v>
      </c>
      <c r="E172" s="2">
        <v>0</v>
      </c>
      <c r="F172" s="3">
        <f>E172/SUM(E172:E176)</f>
        <v>0</v>
      </c>
    </row>
    <row r="173" spans="1:6" ht="16.5" customHeight="1" x14ac:dyDescent="0.25">
      <c r="A173" s="6" t="s">
        <v>46</v>
      </c>
      <c r="B173" s="7" t="s">
        <v>38</v>
      </c>
      <c r="C173" s="1" t="s">
        <v>49</v>
      </c>
      <c r="D173" s="1">
        <v>2</v>
      </c>
      <c r="E173" s="2">
        <v>40</v>
      </c>
      <c r="F173" s="3">
        <f>E173/SUM(E172:E176)</f>
        <v>0.14981273408239701</v>
      </c>
    </row>
    <row r="174" spans="1:6" ht="16.5" customHeight="1" x14ac:dyDescent="0.25">
      <c r="A174" s="6" t="s">
        <v>46</v>
      </c>
      <c r="B174" s="7" t="s">
        <v>38</v>
      </c>
      <c r="C174" s="1" t="s">
        <v>50</v>
      </c>
      <c r="D174" s="1">
        <v>3</v>
      </c>
      <c r="E174" s="2">
        <v>225</v>
      </c>
      <c r="F174" s="3">
        <f>E174/SUM(E172:E176)</f>
        <v>0.84269662921348309</v>
      </c>
    </row>
    <row r="175" spans="1:6" ht="16.5" customHeight="1" x14ac:dyDescent="0.25">
      <c r="A175" s="6" t="s">
        <v>46</v>
      </c>
      <c r="B175" s="7" t="s">
        <v>38</v>
      </c>
      <c r="C175" s="1" t="s">
        <v>51</v>
      </c>
      <c r="D175" s="1">
        <v>4</v>
      </c>
      <c r="E175" s="2">
        <v>2</v>
      </c>
      <c r="F175" s="3">
        <f>E175/SUM(E172:E176)</f>
        <v>7.4906367041198503E-3</v>
      </c>
    </row>
    <row r="176" spans="1:6" ht="16.5" customHeight="1" x14ac:dyDescent="0.25">
      <c r="A176" s="6" t="s">
        <v>46</v>
      </c>
      <c r="B176" s="7" t="s">
        <v>38</v>
      </c>
      <c r="C176" s="1" t="s">
        <v>52</v>
      </c>
      <c r="D176" s="1">
        <v>5</v>
      </c>
      <c r="E176" s="2">
        <v>0</v>
      </c>
      <c r="F176" s="3">
        <f>E176/SUM(E172:E176)</f>
        <v>0</v>
      </c>
    </row>
    <row r="177" spans="1:6" ht="16.5" customHeight="1" x14ac:dyDescent="0.25">
      <c r="A177" s="6" t="s">
        <v>47</v>
      </c>
      <c r="B177" s="7" t="s">
        <v>39</v>
      </c>
      <c r="C177" s="1" t="s">
        <v>48</v>
      </c>
      <c r="D177" s="1">
        <v>1</v>
      </c>
      <c r="E177" s="2">
        <v>2</v>
      </c>
      <c r="F177" s="3">
        <f>E177/SUM(E177:E181)</f>
        <v>6.0606060606060608E-2</v>
      </c>
    </row>
    <row r="178" spans="1:6" ht="16.5" customHeight="1" x14ac:dyDescent="0.25">
      <c r="A178" s="6" t="s">
        <v>47</v>
      </c>
      <c r="B178" s="7" t="s">
        <v>39</v>
      </c>
      <c r="C178" s="1" t="s">
        <v>49</v>
      </c>
      <c r="D178" s="1">
        <v>2</v>
      </c>
      <c r="E178" s="2">
        <v>27</v>
      </c>
      <c r="F178" s="3">
        <f>E178/SUM(E177:E181)</f>
        <v>0.81818181818181823</v>
      </c>
    </row>
    <row r="179" spans="1:6" ht="16.5" customHeight="1" x14ac:dyDescent="0.25">
      <c r="A179" s="6" t="s">
        <v>47</v>
      </c>
      <c r="B179" s="7" t="s">
        <v>39</v>
      </c>
      <c r="C179" s="1" t="s">
        <v>50</v>
      </c>
      <c r="D179" s="1">
        <v>3</v>
      </c>
      <c r="E179" s="2">
        <v>4</v>
      </c>
      <c r="F179" s="3">
        <f>E179/SUM(E177:E181)</f>
        <v>0.12121212121212122</v>
      </c>
    </row>
    <row r="180" spans="1:6" ht="16.5" customHeight="1" x14ac:dyDescent="0.25">
      <c r="A180" s="6" t="s">
        <v>47</v>
      </c>
      <c r="B180" s="7" t="s">
        <v>39</v>
      </c>
      <c r="C180" s="1" t="s">
        <v>51</v>
      </c>
      <c r="D180" s="1">
        <v>4</v>
      </c>
      <c r="E180" s="2">
        <v>0</v>
      </c>
      <c r="F180" s="3">
        <f>E180/SUM(E177:E181)</f>
        <v>0</v>
      </c>
    </row>
    <row r="181" spans="1:6" ht="16.5" customHeight="1" x14ac:dyDescent="0.25">
      <c r="A181" s="6" t="s">
        <v>47</v>
      </c>
      <c r="B181" s="7" t="s">
        <v>39</v>
      </c>
      <c r="C181" s="1" t="s">
        <v>52</v>
      </c>
      <c r="D181" s="1">
        <v>5</v>
      </c>
      <c r="E181" s="2">
        <v>0</v>
      </c>
      <c r="F181" s="3">
        <f>E181/SUM(E177:E181)</f>
        <v>0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  <ignoredErrors>
    <ignoredError sqref="F2:F41 F42:F111 F112:F151 F152:F176 F177:F18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cp:lastPrinted>2024-01-14T02:21:45Z</cp:lastPrinted>
  <dcterms:created xsi:type="dcterms:W3CDTF">2020-11-07T14:23:38Z</dcterms:created>
  <dcterms:modified xsi:type="dcterms:W3CDTF">2025-09-08T08:00:16Z</dcterms:modified>
</cp:coreProperties>
</file>