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ocuments and Settings\youth259\Dropbox\My Documents\金門相關\個人作品\選舉圖表\"/>
    </mc:Choice>
  </mc:AlternateContent>
  <bookViews>
    <workbookView xWindow="-105" yWindow="-105" windowWidth="23250" windowHeight="12570"/>
  </bookViews>
  <sheets>
    <sheet name="工作表1" sheetId="9" r:id="rId1"/>
    <sheet name="圖表數據" sheetId="10" r:id="rId2"/>
    <sheet name="比例色代碼" sheetId="11" r:id="rId3"/>
    <sheet name="金城鎮" sheetId="3" r:id="rId4"/>
    <sheet name="金寧鄉" sheetId="6" r:id="rId5"/>
    <sheet name="金沙鎮" sheetId="4" r:id="rId6"/>
    <sheet name="金湖鎮" sheetId="5" r:id="rId7"/>
    <sheet name="烈嶼鄉" sheetId="7" r:id="rId8"/>
    <sheet name="烏坵鄉" sheetId="8" r:id="rId9"/>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2" i="9" l="1"/>
  <c r="G8" i="10"/>
  <c r="E8" i="10"/>
  <c r="G6" i="10"/>
  <c r="F6" i="10"/>
  <c r="E6" i="10"/>
  <c r="D6" i="10"/>
  <c r="C6" i="10"/>
  <c r="G5" i="10"/>
  <c r="F5" i="10"/>
  <c r="E5" i="10"/>
  <c r="D5" i="10"/>
  <c r="C5" i="10"/>
  <c r="G4" i="10"/>
  <c r="F4" i="10"/>
  <c r="E4" i="10"/>
  <c r="D4" i="10"/>
  <c r="C4" i="10"/>
  <c r="G3" i="10"/>
  <c r="F3" i="10"/>
  <c r="E3" i="10"/>
  <c r="D3" i="10"/>
  <c r="C3" i="10"/>
  <c r="G7" i="10" l="1"/>
  <c r="F7" i="10"/>
  <c r="E7" i="10"/>
  <c r="D7" i="10"/>
  <c r="C7" i="10"/>
  <c r="E2" i="3" l="1"/>
  <c r="E3" i="3"/>
  <c r="E4" i="3"/>
  <c r="E5" i="3"/>
  <c r="E6" i="3"/>
  <c r="BC70" i="9" l="1"/>
  <c r="BC71" i="9"/>
  <c r="BC72" i="9"/>
  <c r="BC73" i="9"/>
  <c r="BC43" i="9"/>
  <c r="BC44" i="9"/>
  <c r="BC45" i="9"/>
  <c r="BC46" i="9"/>
  <c r="BC47" i="9"/>
  <c r="BC48" i="9"/>
  <c r="BC49" i="9"/>
  <c r="BC50" i="9"/>
  <c r="BC51" i="9"/>
  <c r="BC52" i="9"/>
  <c r="BC53" i="9"/>
  <c r="BC54" i="9"/>
  <c r="BC55" i="9"/>
  <c r="BC56" i="9"/>
  <c r="BC57" i="9"/>
  <c r="BC58" i="9"/>
  <c r="BC59" i="9"/>
  <c r="BC60" i="9"/>
  <c r="BC61" i="9"/>
  <c r="BC62" i="9"/>
  <c r="BC63" i="9"/>
  <c r="BC64" i="9"/>
  <c r="BC65" i="9"/>
  <c r="BC66" i="9"/>
  <c r="AQ43" i="9"/>
  <c r="AQ44" i="9"/>
  <c r="AQ45" i="9"/>
  <c r="AQ46" i="9"/>
  <c r="AQ47" i="9"/>
  <c r="AQ48" i="9"/>
  <c r="AQ49" i="9"/>
  <c r="AQ50" i="9"/>
  <c r="AQ51" i="9"/>
  <c r="AQ52" i="9"/>
  <c r="AQ53" i="9"/>
  <c r="AQ54" i="9"/>
  <c r="AQ55" i="9"/>
  <c r="AQ56" i="9"/>
  <c r="AQ57" i="9"/>
  <c r="AQ58" i="9"/>
  <c r="AQ59" i="9"/>
  <c r="AQ60" i="9"/>
  <c r="AQ61" i="9"/>
  <c r="AQ62" i="9"/>
  <c r="AQ63" i="9"/>
  <c r="AQ64" i="9"/>
  <c r="AQ65" i="9"/>
  <c r="AQ66" i="9"/>
  <c r="AQ67" i="9"/>
  <c r="AQ68" i="9"/>
  <c r="AQ69" i="9"/>
  <c r="AQ70" i="9"/>
  <c r="AQ71" i="9"/>
  <c r="AQ72" i="9"/>
  <c r="AQ73" i="9"/>
  <c r="AQ74" i="9"/>
  <c r="AQ75" i="9"/>
  <c r="AQ76" i="9"/>
  <c r="AQ77" i="9"/>
  <c r="AQ78" i="9"/>
  <c r="AQ79" i="9"/>
  <c r="AQ80" i="9"/>
  <c r="AQ81" i="9"/>
  <c r="AE43" i="9"/>
  <c r="AE44" i="9"/>
  <c r="AE45" i="9"/>
  <c r="AE46" i="9"/>
  <c r="AE47" i="9"/>
  <c r="AE48" i="9"/>
  <c r="AE49" i="9"/>
  <c r="AE50" i="9"/>
  <c r="AE51" i="9"/>
  <c r="AE52" i="9"/>
  <c r="AE53" i="9"/>
  <c r="AE54" i="9"/>
  <c r="AE55" i="9"/>
  <c r="AE56" i="9"/>
  <c r="AE57" i="9"/>
  <c r="AE58" i="9"/>
  <c r="AE59" i="9"/>
  <c r="AE60" i="9"/>
  <c r="AE61" i="9"/>
  <c r="AE62" i="9"/>
  <c r="AE63" i="9"/>
  <c r="AE64" i="9"/>
  <c r="AE65" i="9"/>
  <c r="AE66" i="9"/>
  <c r="AE67" i="9"/>
  <c r="AE68" i="9"/>
  <c r="AE69" i="9"/>
  <c r="AE70" i="9"/>
  <c r="AE71" i="9"/>
  <c r="AE72" i="9"/>
  <c r="AE73" i="9"/>
  <c r="AE74" i="9"/>
  <c r="AE75" i="9"/>
  <c r="AE76" i="9"/>
  <c r="AE77" i="9"/>
  <c r="AE78" i="9"/>
  <c r="AE79" i="9"/>
  <c r="AE80" i="9"/>
  <c r="AE81" i="9"/>
  <c r="S43" i="9"/>
  <c r="S44" i="9"/>
  <c r="S45" i="9"/>
  <c r="S46" i="9"/>
  <c r="S47" i="9"/>
  <c r="S48" i="9"/>
  <c r="V48" i="9" s="1"/>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AY70" i="9"/>
  <c r="BB70" i="9"/>
  <c r="AY71" i="9"/>
  <c r="BB71" i="9"/>
  <c r="AY72" i="9"/>
  <c r="BB72" i="9"/>
  <c r="AY73" i="9"/>
  <c r="BB73" i="9"/>
  <c r="AY69" i="9"/>
  <c r="AY43" i="9"/>
  <c r="BB43" i="9"/>
  <c r="AY44" i="9"/>
  <c r="BB44" i="9"/>
  <c r="AY45" i="9"/>
  <c r="BB45" i="9"/>
  <c r="AY46" i="9"/>
  <c r="BB46" i="9"/>
  <c r="AY47" i="9"/>
  <c r="BB47" i="9"/>
  <c r="AY48" i="9"/>
  <c r="BB48" i="9"/>
  <c r="AY49" i="9"/>
  <c r="BB49" i="9"/>
  <c r="AY50" i="9"/>
  <c r="BB50" i="9"/>
  <c r="AY51" i="9"/>
  <c r="BB51" i="9"/>
  <c r="AY52" i="9"/>
  <c r="BB52" i="9"/>
  <c r="AY53" i="9"/>
  <c r="BB53" i="9"/>
  <c r="AY54" i="9"/>
  <c r="BB54" i="9"/>
  <c r="AY55" i="9"/>
  <c r="BB55" i="9"/>
  <c r="AY56" i="9"/>
  <c r="BB56" i="9"/>
  <c r="AY57" i="9"/>
  <c r="BB57" i="9"/>
  <c r="AY58" i="9"/>
  <c r="BB58" i="9"/>
  <c r="AY59" i="9"/>
  <c r="BB59" i="9"/>
  <c r="AY60" i="9"/>
  <c r="BB60" i="9"/>
  <c r="AY61" i="9"/>
  <c r="BB61" i="9"/>
  <c r="AY62" i="9"/>
  <c r="BB62" i="9"/>
  <c r="AY63" i="9"/>
  <c r="BB63" i="9"/>
  <c r="AY64" i="9"/>
  <c r="BB64" i="9"/>
  <c r="AY65" i="9"/>
  <c r="BB65" i="9"/>
  <c r="AY66" i="9"/>
  <c r="BB66" i="9"/>
  <c r="AY42" i="9"/>
  <c r="AM43" i="9"/>
  <c r="AP43" i="9"/>
  <c r="AM44" i="9"/>
  <c r="AP44" i="9"/>
  <c r="AM45" i="9"/>
  <c r="AP45" i="9"/>
  <c r="AM46" i="9"/>
  <c r="AP46" i="9"/>
  <c r="AM47" i="9"/>
  <c r="AP47" i="9"/>
  <c r="AM48" i="9"/>
  <c r="AP48" i="9"/>
  <c r="AM49" i="9"/>
  <c r="AP49" i="9"/>
  <c r="AM50" i="9"/>
  <c r="AP50" i="9"/>
  <c r="AM51" i="9"/>
  <c r="AP51" i="9"/>
  <c r="AM52" i="9"/>
  <c r="AP52" i="9"/>
  <c r="AM53" i="9"/>
  <c r="AP53" i="9"/>
  <c r="AM54" i="9"/>
  <c r="AP54" i="9"/>
  <c r="AM55" i="9"/>
  <c r="AP55" i="9"/>
  <c r="AM56" i="9"/>
  <c r="AP56" i="9"/>
  <c r="AM57" i="9"/>
  <c r="AP57" i="9"/>
  <c r="AM58" i="9"/>
  <c r="AP58" i="9"/>
  <c r="AM59" i="9"/>
  <c r="AP59" i="9"/>
  <c r="AM60" i="9"/>
  <c r="AP60" i="9"/>
  <c r="AM61" i="9"/>
  <c r="AP61" i="9"/>
  <c r="AM62" i="9"/>
  <c r="AP62" i="9"/>
  <c r="AM63" i="9"/>
  <c r="AP63" i="9"/>
  <c r="AM64" i="9"/>
  <c r="AP64" i="9"/>
  <c r="AM65" i="9"/>
  <c r="AP65" i="9"/>
  <c r="AM66" i="9"/>
  <c r="AP66" i="9"/>
  <c r="AM67" i="9"/>
  <c r="AP67" i="9"/>
  <c r="AM68" i="9"/>
  <c r="AP68" i="9"/>
  <c r="AM69" i="9"/>
  <c r="AP69" i="9"/>
  <c r="AM70" i="9"/>
  <c r="AP70" i="9"/>
  <c r="AM71" i="9"/>
  <c r="AP71" i="9"/>
  <c r="AM72" i="9"/>
  <c r="AP72" i="9"/>
  <c r="AM73" i="9"/>
  <c r="AP73" i="9"/>
  <c r="AM74" i="9"/>
  <c r="AP74" i="9"/>
  <c r="AM75" i="9"/>
  <c r="AP75" i="9"/>
  <c r="AM76" i="9"/>
  <c r="AP76" i="9"/>
  <c r="AM77" i="9"/>
  <c r="AP77" i="9"/>
  <c r="AM78" i="9"/>
  <c r="AP78" i="9"/>
  <c r="AM79" i="9"/>
  <c r="AP79" i="9"/>
  <c r="AM80" i="9"/>
  <c r="AP80" i="9"/>
  <c r="AM81" i="9"/>
  <c r="AP81" i="9"/>
  <c r="AM42" i="9"/>
  <c r="AA43" i="9"/>
  <c r="AD43" i="9"/>
  <c r="AA44" i="9"/>
  <c r="AD44" i="9"/>
  <c r="AA45" i="9"/>
  <c r="AD45" i="9"/>
  <c r="AA46" i="9"/>
  <c r="AD46" i="9"/>
  <c r="AA47" i="9"/>
  <c r="AD47" i="9"/>
  <c r="AA48" i="9"/>
  <c r="AD48" i="9"/>
  <c r="AA49" i="9"/>
  <c r="AD49" i="9"/>
  <c r="AA50" i="9"/>
  <c r="AD50" i="9"/>
  <c r="AA51" i="9"/>
  <c r="AD51" i="9"/>
  <c r="AA52" i="9"/>
  <c r="AD52" i="9"/>
  <c r="AA53" i="9"/>
  <c r="AD53" i="9"/>
  <c r="AA54" i="9"/>
  <c r="AD54" i="9"/>
  <c r="AA55" i="9"/>
  <c r="AD55" i="9"/>
  <c r="AA56" i="9"/>
  <c r="AD56" i="9"/>
  <c r="AA57" i="9"/>
  <c r="AD57" i="9"/>
  <c r="AA58" i="9"/>
  <c r="AD58" i="9"/>
  <c r="AA59" i="9"/>
  <c r="AD59" i="9"/>
  <c r="AA60" i="9"/>
  <c r="AD60" i="9"/>
  <c r="AA61" i="9"/>
  <c r="AD61" i="9"/>
  <c r="AA62" i="9"/>
  <c r="AD62" i="9"/>
  <c r="AA63" i="9"/>
  <c r="AD63" i="9"/>
  <c r="AA64" i="9"/>
  <c r="AD64" i="9"/>
  <c r="AA65" i="9"/>
  <c r="AD65" i="9"/>
  <c r="AA66" i="9"/>
  <c r="AD66" i="9"/>
  <c r="AA67" i="9"/>
  <c r="AD67" i="9"/>
  <c r="AA68" i="9"/>
  <c r="AD68" i="9"/>
  <c r="AA69" i="9"/>
  <c r="AD69" i="9"/>
  <c r="AA70" i="9"/>
  <c r="AD70" i="9"/>
  <c r="AA71" i="9"/>
  <c r="AD71" i="9"/>
  <c r="AA72" i="9"/>
  <c r="AD72" i="9"/>
  <c r="AA73" i="9"/>
  <c r="AD73" i="9"/>
  <c r="AA74" i="9"/>
  <c r="AD74" i="9"/>
  <c r="AA75" i="9"/>
  <c r="AD75" i="9"/>
  <c r="AA76" i="9"/>
  <c r="AD76" i="9"/>
  <c r="AA77" i="9"/>
  <c r="AD77" i="9"/>
  <c r="AA78" i="9"/>
  <c r="AD78" i="9"/>
  <c r="AA79" i="9"/>
  <c r="AD79" i="9"/>
  <c r="AA80" i="9"/>
  <c r="AD80" i="9"/>
  <c r="AA81" i="9"/>
  <c r="AD81" i="9"/>
  <c r="AA42" i="9"/>
  <c r="O43" i="9"/>
  <c r="R43" i="9"/>
  <c r="O44" i="9"/>
  <c r="R44" i="9"/>
  <c r="O45" i="9"/>
  <c r="R45" i="9"/>
  <c r="O46" i="9"/>
  <c r="R46" i="9"/>
  <c r="O47" i="9"/>
  <c r="R47" i="9"/>
  <c r="O48" i="9"/>
  <c r="R48" i="9"/>
  <c r="O49" i="9"/>
  <c r="R49" i="9"/>
  <c r="O50" i="9"/>
  <c r="R50" i="9"/>
  <c r="O51" i="9"/>
  <c r="R51" i="9"/>
  <c r="O52" i="9"/>
  <c r="R52" i="9"/>
  <c r="O53" i="9"/>
  <c r="R53" i="9"/>
  <c r="O54" i="9"/>
  <c r="R54" i="9"/>
  <c r="O55" i="9"/>
  <c r="R55" i="9"/>
  <c r="O56" i="9"/>
  <c r="R56" i="9"/>
  <c r="O57" i="9"/>
  <c r="R57" i="9"/>
  <c r="O58" i="9"/>
  <c r="R58" i="9"/>
  <c r="O59" i="9"/>
  <c r="R59" i="9"/>
  <c r="O60" i="9"/>
  <c r="R60" i="9"/>
  <c r="O61" i="9"/>
  <c r="R61" i="9"/>
  <c r="O62" i="9"/>
  <c r="R62" i="9"/>
  <c r="O63" i="9"/>
  <c r="R63" i="9"/>
  <c r="O64" i="9"/>
  <c r="R64" i="9"/>
  <c r="O65" i="9"/>
  <c r="R65" i="9"/>
  <c r="O66" i="9"/>
  <c r="R66" i="9"/>
  <c r="O67" i="9"/>
  <c r="R67" i="9"/>
  <c r="O68" i="9"/>
  <c r="R68" i="9"/>
  <c r="O69" i="9"/>
  <c r="R69" i="9"/>
  <c r="O70" i="9"/>
  <c r="R70" i="9"/>
  <c r="O71" i="9"/>
  <c r="R71" i="9"/>
  <c r="R72" i="9"/>
  <c r="O73" i="9"/>
  <c r="R73" i="9"/>
  <c r="O74" i="9"/>
  <c r="R74" i="9"/>
  <c r="O75" i="9"/>
  <c r="R75" i="9"/>
  <c r="O76" i="9"/>
  <c r="R76" i="9"/>
  <c r="O77" i="9"/>
  <c r="R77" i="9"/>
  <c r="O78" i="9"/>
  <c r="R78" i="9"/>
  <c r="O79" i="9"/>
  <c r="R79" i="9"/>
  <c r="O80" i="9"/>
  <c r="R80" i="9"/>
  <c r="O81" i="9"/>
  <c r="R81" i="9"/>
  <c r="O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42" i="9"/>
  <c r="G70" i="9"/>
  <c r="G71" i="9"/>
  <c r="G66" i="9"/>
  <c r="G65" i="9"/>
  <c r="G61" i="9"/>
  <c r="G60" i="9"/>
  <c r="G56" i="9"/>
  <c r="G55" i="9"/>
  <c r="G51" i="9"/>
  <c r="G50" i="9"/>
  <c r="G46" i="9"/>
  <c r="G45" i="9"/>
  <c r="AT74" i="9" l="1"/>
  <c r="AT54" i="9"/>
  <c r="AT66" i="9"/>
  <c r="AH55" i="9"/>
  <c r="AH59" i="9"/>
  <c r="AH63" i="9"/>
  <c r="AT62" i="9"/>
  <c r="AT76" i="9"/>
  <c r="V80" i="9"/>
  <c r="V68" i="9"/>
  <c r="V64" i="9"/>
  <c r="AH79" i="9"/>
  <c r="AH81" i="9"/>
  <c r="AH77" i="9"/>
  <c r="AH78" i="9"/>
  <c r="AH80" i="9"/>
  <c r="AH73" i="9"/>
  <c r="AH75" i="9"/>
  <c r="AH76" i="9"/>
  <c r="AH72" i="9"/>
  <c r="AH74" i="9"/>
  <c r="AH67" i="9"/>
  <c r="AH70" i="9"/>
  <c r="AH71" i="9"/>
  <c r="AH69" i="9"/>
  <c r="AH68" i="9"/>
  <c r="AH66" i="9"/>
  <c r="AH62" i="9"/>
  <c r="AH64" i="9"/>
  <c r="AH65" i="9"/>
  <c r="AH61" i="9"/>
  <c r="AH57" i="9"/>
  <c r="AH58" i="9"/>
  <c r="AH60" i="9"/>
  <c r="AH56" i="9"/>
  <c r="AH52" i="9"/>
  <c r="AH54" i="9"/>
  <c r="AH53" i="9"/>
  <c r="AH47" i="9"/>
  <c r="AH51" i="9"/>
  <c r="AH50" i="9"/>
  <c r="AH49" i="9"/>
  <c r="AH48" i="9"/>
  <c r="AT78" i="9"/>
  <c r="AT81" i="9"/>
  <c r="AT77" i="9"/>
  <c r="AT80" i="9"/>
  <c r="AT79" i="9"/>
  <c r="AT72" i="9"/>
  <c r="AT73" i="9"/>
  <c r="AT75" i="9"/>
  <c r="AT68" i="9"/>
  <c r="AT71" i="9"/>
  <c r="AT67" i="9"/>
  <c r="AT70" i="9"/>
  <c r="AT69" i="9"/>
  <c r="AT65" i="9"/>
  <c r="AT64" i="9"/>
  <c r="AT63" i="9"/>
  <c r="AT58" i="9"/>
  <c r="AT61" i="9"/>
  <c r="AT57" i="9"/>
  <c r="AT60" i="9"/>
  <c r="AT59" i="9"/>
  <c r="AT56" i="9"/>
  <c r="AT52" i="9"/>
  <c r="AT55" i="9"/>
  <c r="AT53" i="9"/>
  <c r="AT48" i="9"/>
  <c r="AT50" i="9"/>
  <c r="AT51" i="9"/>
  <c r="AT47" i="9"/>
  <c r="AT49" i="9"/>
  <c r="BF66" i="9"/>
  <c r="BF62" i="9"/>
  <c r="BF63" i="9"/>
  <c r="BF65" i="9"/>
  <c r="BF58" i="9"/>
  <c r="BF61" i="9"/>
  <c r="BF57" i="9"/>
  <c r="BF59" i="9"/>
  <c r="BF55" i="9"/>
  <c r="BF54" i="9"/>
  <c r="BF53" i="9"/>
  <c r="BF51" i="9"/>
  <c r="BF47" i="9"/>
  <c r="BF50" i="9"/>
  <c r="BF49" i="9"/>
  <c r="BF48" i="9"/>
  <c r="BF52" i="9"/>
  <c r="BF56" i="9"/>
  <c r="BF60" i="9"/>
  <c r="BF64" i="9"/>
  <c r="V76" i="9"/>
  <c r="V60" i="9"/>
  <c r="V56" i="9"/>
  <c r="V52" i="9"/>
  <c r="V71" i="9"/>
  <c r="V63" i="9"/>
  <c r="V59" i="9"/>
  <c r="V55" i="9"/>
  <c r="V47" i="9"/>
  <c r="V78" i="9"/>
  <c r="V74" i="9"/>
  <c r="V70" i="9"/>
  <c r="V66" i="9"/>
  <c r="V62" i="9"/>
  <c r="V58" i="9"/>
  <c r="V54" i="9"/>
  <c r="V50" i="9"/>
  <c r="V72" i="9"/>
  <c r="V75" i="9"/>
  <c r="V67" i="9"/>
  <c r="V51" i="9"/>
  <c r="V81" i="9"/>
  <c r="V77" i="9"/>
  <c r="V69" i="9"/>
  <c r="V65" i="9"/>
  <c r="V61" i="9"/>
  <c r="V57" i="9"/>
  <c r="V53" i="9"/>
  <c r="V49" i="9"/>
  <c r="V73" i="9"/>
  <c r="V79" i="9"/>
  <c r="F8" i="10"/>
  <c r="F9" i="10" s="1"/>
  <c r="E9" i="10"/>
  <c r="D8" i="10"/>
  <c r="C8" i="10"/>
  <c r="E6" i="8"/>
  <c r="E5" i="8"/>
  <c r="E4" i="8"/>
  <c r="E3" i="8"/>
  <c r="E2" i="8"/>
  <c r="E26" i="7"/>
  <c r="E25" i="7"/>
  <c r="E24" i="7"/>
  <c r="E23" i="7"/>
  <c r="E22" i="7"/>
  <c r="E21" i="7"/>
  <c r="E20" i="7"/>
  <c r="E19" i="7"/>
  <c r="E18" i="7"/>
  <c r="E17" i="7"/>
  <c r="E16" i="7"/>
  <c r="E15" i="7"/>
  <c r="E14" i="7"/>
  <c r="E13" i="7"/>
  <c r="E12" i="7"/>
  <c r="E11" i="7"/>
  <c r="E10" i="7"/>
  <c r="E9" i="7"/>
  <c r="E8" i="7"/>
  <c r="E7" i="7"/>
  <c r="E6" i="7"/>
  <c r="E5" i="7"/>
  <c r="E4" i="7"/>
  <c r="E3" i="7"/>
  <c r="E2" i="7"/>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E11" i="4"/>
  <c r="E12" i="4"/>
  <c r="E13"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0" i="4"/>
  <c r="E9" i="4"/>
  <c r="E8" i="4"/>
  <c r="E7" i="4"/>
  <c r="E6" i="4"/>
  <c r="E5" i="4"/>
  <c r="E4" i="4"/>
  <c r="E3" i="4"/>
  <c r="E2" i="4"/>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F10" i="10" l="1"/>
  <c r="E10" i="10"/>
  <c r="AN20" i="9"/>
  <c r="AI15" i="9"/>
  <c r="AS17" i="9"/>
  <c r="S42" i="9" l="1"/>
  <c r="AX5" i="9"/>
  <c r="AX5" i="11" s="1"/>
  <c r="V42" i="9" l="1"/>
  <c r="V43" i="9"/>
  <c r="V45" i="9"/>
  <c r="V44" i="9"/>
  <c r="V46" i="9"/>
  <c r="C9" i="10"/>
  <c r="G10" i="10"/>
  <c r="D10" i="10"/>
  <c r="C10" i="10"/>
  <c r="G9" i="10"/>
  <c r="D9" i="10"/>
  <c r="AD22" i="9" l="1"/>
  <c r="AD22" i="11" s="1"/>
  <c r="C22" i="9"/>
  <c r="C22" i="11" s="1"/>
  <c r="AX20" i="9"/>
  <c r="AX20" i="11" s="1"/>
  <c r="AX10" i="9"/>
  <c r="AX10" i="11" s="1"/>
  <c r="T7" i="9"/>
  <c r="T7" i="11" s="1"/>
  <c r="G43" i="9" l="1"/>
  <c r="G42" i="9"/>
  <c r="AQ42" i="9"/>
  <c r="BC69" i="9"/>
  <c r="BC42" i="9"/>
  <c r="AE42" i="9"/>
  <c r="G69" i="9"/>
  <c r="G68" i="9"/>
  <c r="G67" i="9"/>
  <c r="G64" i="9"/>
  <c r="G63" i="9"/>
  <c r="G62" i="9"/>
  <c r="G59" i="9"/>
  <c r="G58" i="9"/>
  <c r="G57" i="9"/>
  <c r="G54" i="9"/>
  <c r="G53" i="9"/>
  <c r="G52" i="9"/>
  <c r="G49" i="9"/>
  <c r="G48" i="9"/>
  <c r="G47" i="9"/>
  <c r="G44" i="9"/>
  <c r="BC26" i="9"/>
  <c r="BC21" i="9"/>
  <c r="AS26" i="9"/>
  <c r="AN19" i="9"/>
  <c r="AX29" i="9"/>
  <c r="AN24" i="9"/>
  <c r="AS21" i="9"/>
  <c r="AJ34" i="9"/>
  <c r="AN14" i="9"/>
  <c r="AX9" i="9"/>
  <c r="AS11" i="9"/>
  <c r="AS16" i="9"/>
  <c r="AX19" i="9"/>
  <c r="BC16" i="9"/>
  <c r="BC11" i="9"/>
  <c r="AX14" i="9"/>
  <c r="BC25" i="9"/>
  <c r="BC20" i="9"/>
  <c r="AS25" i="9"/>
  <c r="AN18" i="9"/>
  <c r="AX28" i="9"/>
  <c r="AN23" i="9"/>
  <c r="AS20" i="9"/>
  <c r="AJ33" i="9"/>
  <c r="AN13" i="9"/>
  <c r="AX8" i="9"/>
  <c r="AS10" i="9"/>
  <c r="AS15" i="9"/>
  <c r="AX18" i="9"/>
  <c r="BC15" i="9"/>
  <c r="BC10" i="9"/>
  <c r="AJ30" i="9"/>
  <c r="BC24" i="9"/>
  <c r="BC19" i="9"/>
  <c r="AS24" i="9"/>
  <c r="AN17" i="9"/>
  <c r="AX27" i="9"/>
  <c r="AN22" i="9"/>
  <c r="AS19" i="9"/>
  <c r="AN12" i="9"/>
  <c r="AX7" i="9"/>
  <c r="AS9" i="9"/>
  <c r="AS14" i="9"/>
  <c r="AX17" i="9"/>
  <c r="BC14" i="9"/>
  <c r="BC9" i="9"/>
  <c r="AP42" i="9"/>
  <c r="BA22" i="9" s="1"/>
  <c r="AJ35" i="9"/>
  <c r="BB69" i="9"/>
  <c r="AZ34" i="9" s="1"/>
  <c r="AW35" i="9"/>
  <c r="AW36" i="9"/>
  <c r="W35" i="9"/>
  <c r="D31" i="9"/>
  <c r="C21" i="9"/>
  <c r="H19" i="9"/>
  <c r="M21" i="9"/>
  <c r="H24" i="9"/>
  <c r="M20" i="9"/>
  <c r="H23" i="9"/>
  <c r="H18" i="9"/>
  <c r="C20" i="9"/>
  <c r="C19" i="9"/>
  <c r="H17" i="9"/>
  <c r="H22" i="9"/>
  <c r="M19" i="9"/>
  <c r="W31" i="9"/>
  <c r="AB31" i="9"/>
  <c r="R31" i="9"/>
  <c r="W36" i="9"/>
  <c r="AD21" i="9"/>
  <c r="Y26" i="9"/>
  <c r="Y21" i="9"/>
  <c r="D37" i="9"/>
  <c r="AD19" i="9"/>
  <c r="W34" i="9"/>
  <c r="R29" i="9"/>
  <c r="AB29" i="9"/>
  <c r="W29" i="9"/>
  <c r="W30" i="9"/>
  <c r="AB30" i="9"/>
  <c r="R30" i="9"/>
  <c r="AD20" i="9"/>
  <c r="Y25" i="9"/>
  <c r="Y20" i="9"/>
  <c r="D36" i="9"/>
  <c r="Y24" i="9"/>
  <c r="Y19" i="9"/>
  <c r="AI19" i="9"/>
  <c r="AI24" i="9"/>
  <c r="Y16" i="9"/>
  <c r="AD16" i="9"/>
  <c r="Y11" i="9"/>
  <c r="AI18" i="9"/>
  <c r="AI23" i="9"/>
  <c r="Y15" i="9"/>
  <c r="AD15" i="9"/>
  <c r="Y10" i="9"/>
  <c r="AI17" i="9"/>
  <c r="AI22" i="9"/>
  <c r="Y14" i="9"/>
  <c r="AD14" i="9"/>
  <c r="Y9" i="9"/>
  <c r="T11" i="9"/>
  <c r="D33" i="9"/>
  <c r="BC22" i="9"/>
  <c r="BC22" i="11" s="1"/>
  <c r="BC17" i="9"/>
  <c r="BC17" i="11" s="1"/>
  <c r="AX25" i="9"/>
  <c r="AX25" i="11" s="1"/>
  <c r="AS22" i="9"/>
  <c r="AS22" i="11" s="1"/>
  <c r="AS17" i="11"/>
  <c r="AN20" i="11"/>
  <c r="AN15" i="9"/>
  <c r="AN15" i="11" s="1"/>
  <c r="AX15" i="9"/>
  <c r="AX15" i="11" s="1"/>
  <c r="BC12" i="9"/>
  <c r="BC12" i="11" s="1"/>
  <c r="BC7" i="9"/>
  <c r="BC7" i="11" s="1"/>
  <c r="AS12" i="9"/>
  <c r="AS12" i="11" s="1"/>
  <c r="AN10" i="9"/>
  <c r="AN10" i="11" s="1"/>
  <c r="AS7" i="9"/>
  <c r="AS7" i="11" s="1"/>
  <c r="AI20" i="9"/>
  <c r="AI20" i="11" s="1"/>
  <c r="AI15" i="11"/>
  <c r="AD12" i="9"/>
  <c r="AD12" i="11" s="1"/>
  <c r="Y12" i="9"/>
  <c r="Y12" i="11" s="1"/>
  <c r="Y7" i="9"/>
  <c r="Y7" i="11" s="1"/>
  <c r="C17" i="9"/>
  <c r="C17" i="11" s="1"/>
  <c r="H15" i="9"/>
  <c r="H15" i="11" s="1"/>
  <c r="H20" i="9"/>
  <c r="H20" i="11" s="1"/>
  <c r="M17" i="9"/>
  <c r="M17" i="11" s="1"/>
  <c r="AW32" i="9"/>
  <c r="AD17" i="9"/>
  <c r="AD17" i="11" s="1"/>
  <c r="Y17" i="9"/>
  <c r="Y17" i="11" s="1"/>
  <c r="Y22" i="9"/>
  <c r="Y22" i="11" s="1"/>
  <c r="AB27" i="9"/>
  <c r="AB27" i="11" s="1"/>
  <c r="W27" i="9"/>
  <c r="W27" i="11" s="1"/>
  <c r="R27" i="9"/>
  <c r="R27" i="11" s="1"/>
  <c r="AH46" i="9" l="1"/>
  <c r="AH42" i="9"/>
  <c r="AH43" i="9"/>
  <c r="AH45" i="9"/>
  <c r="AH44" i="9"/>
  <c r="AT42" i="9"/>
  <c r="AT45" i="9"/>
  <c r="AT46" i="9"/>
  <c r="AT43" i="9"/>
  <c r="AT44" i="9"/>
  <c r="J59" i="9"/>
  <c r="J53" i="9"/>
  <c r="J43" i="9"/>
  <c r="J67" i="9"/>
  <c r="J71" i="9"/>
  <c r="J70" i="9"/>
  <c r="J48" i="9"/>
  <c r="J68" i="9"/>
  <c r="AB11" i="9"/>
  <c r="J49" i="9"/>
  <c r="J57" i="9"/>
  <c r="J60" i="9"/>
  <c r="J61" i="9"/>
  <c r="J63" i="9"/>
  <c r="J69" i="9"/>
  <c r="J47" i="9"/>
  <c r="J51" i="9"/>
  <c r="J50" i="9"/>
  <c r="J54" i="9"/>
  <c r="J62" i="9"/>
  <c r="J66" i="9"/>
  <c r="J65" i="9"/>
  <c r="J44" i="9"/>
  <c r="J52" i="9"/>
  <c r="J56" i="9"/>
  <c r="J55" i="9"/>
  <c r="J58" i="9"/>
  <c r="J64" i="9"/>
  <c r="J42" i="9"/>
  <c r="J45" i="9"/>
  <c r="J46" i="9"/>
  <c r="BF42" i="9"/>
  <c r="BF44" i="9"/>
  <c r="BF43" i="9"/>
  <c r="BF45" i="9"/>
  <c r="BF46" i="9"/>
  <c r="BF73" i="9"/>
  <c r="BF69" i="9"/>
  <c r="BF71" i="9"/>
  <c r="BF72" i="9"/>
  <c r="BF70" i="9"/>
  <c r="AJ31" i="9"/>
  <c r="AD26" i="9"/>
  <c r="AX24" i="9"/>
  <c r="D32" i="9"/>
  <c r="T9" i="9"/>
  <c r="H36" i="9"/>
  <c r="C24" i="9"/>
  <c r="D29" i="9"/>
  <c r="W10" i="9"/>
  <c r="AJ36" i="9"/>
  <c r="AN36" i="9" s="1"/>
  <c r="AD24" i="9"/>
  <c r="D35" i="9"/>
  <c r="H35" i="9" s="1"/>
  <c r="AX12" i="9"/>
  <c r="AJ29" i="9"/>
  <c r="C26" i="9"/>
  <c r="AJ37" i="9"/>
  <c r="AN37" i="9" s="1"/>
  <c r="H37" i="9"/>
  <c r="AX22" i="9"/>
  <c r="AJ32" i="9"/>
  <c r="AX13" i="9"/>
  <c r="W9" i="9"/>
  <c r="AM37" i="9"/>
  <c r="D34" i="9"/>
  <c r="W11" i="9"/>
  <c r="D30" i="9"/>
  <c r="C25" i="9"/>
  <c r="AM36" i="9"/>
  <c r="AB10" i="9"/>
  <c r="AD25" i="9"/>
  <c r="AW34" i="9"/>
  <c r="T10" i="9"/>
  <c r="AB9" i="9"/>
  <c r="AX23" i="9"/>
  <c r="AZ36" i="9"/>
  <c r="AZ35" i="9"/>
  <c r="Y65" i="9" l="1"/>
  <c r="BI66" i="9"/>
  <c r="Y66" i="9"/>
  <c r="BI65" i="9"/>
  <c r="BI60" i="9"/>
  <c r="M65" i="9"/>
  <c r="AW66" i="9"/>
  <c r="AK66" i="9"/>
  <c r="BI61" i="9"/>
  <c r="M66" i="9"/>
  <c r="AW65" i="9"/>
  <c r="AK65" i="9"/>
  <c r="M61" i="9"/>
  <c r="M60" i="9"/>
  <c r="BI55" i="9"/>
  <c r="Y56" i="9"/>
  <c r="AW61" i="9"/>
  <c r="AK61" i="9"/>
  <c r="Y60" i="9"/>
  <c r="AW60" i="9"/>
  <c r="AK60" i="9"/>
  <c r="Y61" i="9"/>
  <c r="BI56" i="9"/>
  <c r="AK50" i="9"/>
  <c r="AW51" i="9"/>
  <c r="M55" i="9"/>
  <c r="AK55" i="9"/>
  <c r="AW56" i="9"/>
  <c r="Y55" i="9"/>
  <c r="AK51" i="9"/>
  <c r="M56" i="9"/>
  <c r="AK56" i="9"/>
  <c r="AW55" i="9"/>
  <c r="AW50" i="9"/>
  <c r="BI50" i="9"/>
  <c r="Y51" i="9"/>
  <c r="M50" i="9"/>
  <c r="BI51" i="9"/>
  <c r="Y50" i="9"/>
  <c r="M51" i="9"/>
  <c r="AK46" i="9"/>
  <c r="AW45" i="9"/>
  <c r="AK45" i="9"/>
  <c r="AW46" i="9"/>
  <c r="Y45" i="9"/>
  <c r="M46" i="9"/>
  <c r="BI46" i="9"/>
  <c r="Y46" i="9"/>
  <c r="M45" i="9"/>
  <c r="BI45" i="9"/>
  <c r="AK43" i="9"/>
  <c r="BB13" i="11" s="1"/>
  <c r="AK44" i="9"/>
  <c r="BB14" i="11" s="1"/>
  <c r="AK42" i="9"/>
  <c r="BB12" i="11" s="1"/>
  <c r="AK73" i="9"/>
  <c r="BB8" i="11" s="1"/>
  <c r="Y64" i="9"/>
  <c r="AA36" i="11" s="1"/>
  <c r="M48" i="9"/>
  <c r="AC10" i="11" s="1"/>
  <c r="Y62" i="9"/>
  <c r="AA34" i="11" s="1"/>
  <c r="Y42" i="9"/>
  <c r="AH24" i="11" s="1"/>
  <c r="Y43" i="9"/>
  <c r="AH25" i="11" s="1"/>
  <c r="Y44" i="9"/>
  <c r="AH26" i="11" s="1"/>
  <c r="K37" i="9"/>
  <c r="AK74" i="9"/>
  <c r="BB9" i="11" s="1"/>
  <c r="AK47" i="9"/>
  <c r="BG9" i="11" s="1"/>
  <c r="AK68" i="9"/>
  <c r="AW10" i="11" s="1"/>
  <c r="AK72" i="9"/>
  <c r="BB7" i="11" s="1"/>
  <c r="AK69" i="9"/>
  <c r="AW11" i="11" s="1"/>
  <c r="Y79" i="9"/>
  <c r="AA31" i="11" s="1"/>
  <c r="M47" i="9"/>
  <c r="AC9" i="11" s="1"/>
  <c r="K36" i="9"/>
  <c r="K35" i="9"/>
  <c r="M49" i="9"/>
  <c r="AC11" i="11" s="1"/>
  <c r="AW70" i="9"/>
  <c r="BG19" i="11" s="1"/>
  <c r="AK78" i="9"/>
  <c r="AR13" i="11" s="1"/>
  <c r="BI58" i="9"/>
  <c r="L23" i="11" s="1"/>
  <c r="BI43" i="9"/>
  <c r="G25" i="11" s="1"/>
  <c r="M68" i="9"/>
  <c r="AM18" i="11" s="1"/>
  <c r="BI42" i="9"/>
  <c r="G24" i="11" s="1"/>
  <c r="AK79" i="9"/>
  <c r="AR14" i="11" s="1"/>
  <c r="AK77" i="9"/>
  <c r="AR12" i="11" s="1"/>
  <c r="BI62" i="9"/>
  <c r="Q19" i="11" s="1"/>
  <c r="AK48" i="9"/>
  <c r="BG10" i="11" s="1"/>
  <c r="Y58" i="9"/>
  <c r="AH20" i="11" s="1"/>
  <c r="Y59" i="9"/>
  <c r="AH21" i="11" s="1"/>
  <c r="Y57" i="9"/>
  <c r="AH19" i="11" s="1"/>
  <c r="M63" i="9"/>
  <c r="AM23" i="11" s="1"/>
  <c r="M64" i="9"/>
  <c r="AM24" i="11" s="1"/>
  <c r="M62" i="9"/>
  <c r="AM22" i="11" s="1"/>
  <c r="M59" i="9"/>
  <c r="AC16" i="11" s="1"/>
  <c r="M58" i="9"/>
  <c r="AC15" i="11" s="1"/>
  <c r="M57" i="9"/>
  <c r="AC14" i="11" s="1"/>
  <c r="AK67" i="9"/>
  <c r="AW9" i="11" s="1"/>
  <c r="AW49" i="9"/>
  <c r="AW21" i="11" s="1"/>
  <c r="AW47" i="9"/>
  <c r="AW19" i="11" s="1"/>
  <c r="AW48" i="9"/>
  <c r="AW20" i="11" s="1"/>
  <c r="BI54" i="9"/>
  <c r="L19" i="11" s="1"/>
  <c r="BI53" i="9"/>
  <c r="L18" i="11" s="1"/>
  <c r="BI52" i="9"/>
  <c r="L17" i="11" s="1"/>
  <c r="AW63" i="9"/>
  <c r="AR18" i="11" s="1"/>
  <c r="AW64" i="9"/>
  <c r="AR19" i="11" s="1"/>
  <c r="AW62" i="9"/>
  <c r="AR17" i="11" s="1"/>
  <c r="AK54" i="9"/>
  <c r="BG16" i="11" s="1"/>
  <c r="AK52" i="9"/>
  <c r="BG14" i="11" s="1"/>
  <c r="AK53" i="9"/>
  <c r="BG15" i="11" s="1"/>
  <c r="Y48" i="9"/>
  <c r="AC20" i="11" s="1"/>
  <c r="Y49" i="9"/>
  <c r="AC21" i="11" s="1"/>
  <c r="Y47" i="9"/>
  <c r="AC19" i="11" s="1"/>
  <c r="BI63" i="9"/>
  <c r="Q20" i="11" s="1"/>
  <c r="Y74" i="9"/>
  <c r="AF31" i="11" s="1"/>
  <c r="Y73" i="9"/>
  <c r="AF30" i="11" s="1"/>
  <c r="Y72" i="9"/>
  <c r="AF29" i="11" s="1"/>
  <c r="AW57" i="9"/>
  <c r="BB27" i="11" s="1"/>
  <c r="AW59" i="9"/>
  <c r="BB29" i="11" s="1"/>
  <c r="AW58" i="9"/>
  <c r="BB28" i="11" s="1"/>
  <c r="BI48" i="9"/>
  <c r="G20" i="11" s="1"/>
  <c r="BI49" i="9"/>
  <c r="G21" i="11" s="1"/>
  <c r="BI47" i="9"/>
  <c r="G19" i="11" s="1"/>
  <c r="M43" i="9"/>
  <c r="X10" i="11" s="1"/>
  <c r="M42" i="9"/>
  <c r="X9" i="11" s="1"/>
  <c r="M44" i="9"/>
  <c r="X11" i="11" s="1"/>
  <c r="AW54" i="9"/>
  <c r="AR24" i="11" s="1"/>
  <c r="AW53" i="9"/>
  <c r="AR23" i="11" s="1"/>
  <c r="AW52" i="9"/>
  <c r="AR22" i="11" s="1"/>
  <c r="BI70" i="9"/>
  <c r="BA35" i="11" s="1"/>
  <c r="BI69" i="9"/>
  <c r="BA34" i="11" s="1"/>
  <c r="BI71" i="9"/>
  <c r="BA36" i="11" s="1"/>
  <c r="M67" i="9"/>
  <c r="AM17" i="11" s="1"/>
  <c r="BI44" i="9"/>
  <c r="G26" i="11" s="1"/>
  <c r="AK49" i="9"/>
  <c r="BG11" i="11" s="1"/>
  <c r="AW72" i="9"/>
  <c r="BG21" i="11" s="1"/>
  <c r="BI57" i="9"/>
  <c r="L22" i="11" s="1"/>
  <c r="BI64" i="9"/>
  <c r="Q21" i="11" s="1"/>
  <c r="Y54" i="9"/>
  <c r="AC26" i="11" s="1"/>
  <c r="Y52" i="9"/>
  <c r="AC24" i="11" s="1"/>
  <c r="Y53" i="9"/>
  <c r="AC25" i="11" s="1"/>
  <c r="M52" i="9"/>
  <c r="AH14" i="11" s="1"/>
  <c r="M53" i="9"/>
  <c r="AH15" i="11" s="1"/>
  <c r="M54" i="9"/>
  <c r="AH16" i="11" s="1"/>
  <c r="AW69" i="9"/>
  <c r="AW26" i="11" s="1"/>
  <c r="AW67" i="9"/>
  <c r="AW24" i="11" s="1"/>
  <c r="AW68" i="9"/>
  <c r="AW25" i="11" s="1"/>
  <c r="AK58" i="9"/>
  <c r="BB18" i="11" s="1"/>
  <c r="AK57" i="9"/>
  <c r="BB17" i="11" s="1"/>
  <c r="AK59" i="9"/>
  <c r="BB19" i="11" s="1"/>
  <c r="M69" i="9"/>
  <c r="AM19" i="11" s="1"/>
  <c r="AW71" i="9"/>
  <c r="BG20" i="11" s="1"/>
  <c r="AW43" i="9"/>
  <c r="BB23" i="11" s="1"/>
  <c r="AW42" i="9"/>
  <c r="BB22" i="11" s="1"/>
  <c r="AW44" i="9"/>
  <c r="BB24" i="11" s="1"/>
  <c r="BI59" i="9"/>
  <c r="L24" i="11" s="1"/>
  <c r="Y78" i="9"/>
  <c r="AA30" i="11" s="1"/>
  <c r="Y77" i="9"/>
  <c r="AA29" i="11" s="1"/>
  <c r="Y63" i="9"/>
  <c r="AA35" i="11" s="1"/>
  <c r="AW73" i="9"/>
  <c r="BG24" i="11" s="1"/>
  <c r="AW75" i="9"/>
  <c r="BG26" i="11" s="1"/>
  <c r="Y68" i="9"/>
  <c r="V30" i="11" s="1"/>
  <c r="Y69" i="9"/>
  <c r="V31" i="11" s="1"/>
  <c r="Y67" i="9"/>
  <c r="V29" i="11" s="1"/>
  <c r="AK62" i="9"/>
  <c r="AW14" i="11" s="1"/>
  <c r="AK64" i="9"/>
  <c r="AW16" i="11" s="1"/>
  <c r="AK63" i="9"/>
  <c r="AW15" i="11" s="1"/>
  <c r="AW74" i="9"/>
  <c r="BG25" i="11" s="1"/>
  <c r="W32" i="9"/>
  <c r="W32" i="11" s="1"/>
  <c r="BB42" i="9"/>
  <c r="F24" i="9" l="1"/>
  <c r="H31" i="9"/>
  <c r="H30" i="9"/>
  <c r="H29" i="9"/>
  <c r="K19" i="9"/>
  <c r="F20" i="9"/>
  <c r="F19" i="9"/>
  <c r="K24" i="9"/>
  <c r="K18" i="9"/>
  <c r="P21" i="9"/>
  <c r="K23" i="9"/>
  <c r="K17" i="9"/>
  <c r="F26" i="9"/>
  <c r="P19" i="9"/>
  <c r="P20" i="9"/>
  <c r="K22" i="9"/>
  <c r="F21" i="9"/>
  <c r="F25" i="9"/>
  <c r="AG14" i="9"/>
  <c r="AG15" i="9"/>
  <c r="AG16" i="9"/>
  <c r="AB14" i="9"/>
  <c r="AB15" i="9"/>
  <c r="AB16" i="9"/>
  <c r="AL22" i="9"/>
  <c r="AL23" i="9"/>
  <c r="AL24" i="9"/>
  <c r="AL17" i="9"/>
  <c r="AL18" i="9"/>
  <c r="AL19" i="9"/>
  <c r="Z35" i="9"/>
  <c r="Z36" i="9"/>
  <c r="R42" i="9"/>
  <c r="AG24" i="9" s="1"/>
  <c r="AD42" i="9"/>
  <c r="AV19" i="9"/>
  <c r="AV20" i="9"/>
  <c r="AV21" i="9"/>
  <c r="AQ22" i="9"/>
  <c r="AQ23" i="9"/>
  <c r="AQ24" i="9"/>
  <c r="K29" i="9" l="1"/>
  <c r="K31" i="9"/>
  <c r="K30" i="9"/>
  <c r="G34" i="9"/>
  <c r="AN34" i="9"/>
  <c r="AN33" i="9"/>
  <c r="AN32" i="9"/>
  <c r="H33" i="9"/>
  <c r="H34" i="9"/>
  <c r="H32" i="9"/>
  <c r="BA12" i="9"/>
  <c r="AN31" i="9"/>
  <c r="AN30" i="9"/>
  <c r="AN29" i="9"/>
  <c r="BA28" i="9"/>
  <c r="AQ13" i="9"/>
  <c r="BA18" i="9"/>
  <c r="AM31" i="9"/>
  <c r="BA14" i="9"/>
  <c r="AE29" i="9"/>
  <c r="AQ18" i="9"/>
  <c r="BA27" i="9"/>
  <c r="AM33" i="9"/>
  <c r="BA23" i="9"/>
  <c r="AQ12" i="9"/>
  <c r="AV11" i="9"/>
  <c r="AV15" i="9"/>
  <c r="BA17" i="9"/>
  <c r="BF11" i="9"/>
  <c r="AM30" i="9"/>
  <c r="BA13" i="9"/>
  <c r="Z29" i="9"/>
  <c r="U31" i="9"/>
  <c r="AG19" i="9"/>
  <c r="Z34" i="9"/>
  <c r="AB21" i="9"/>
  <c r="AG25" i="9"/>
  <c r="G36" i="9"/>
  <c r="J36" i="9" s="1"/>
  <c r="G33" i="9"/>
  <c r="BF25" i="9"/>
  <c r="BA7" i="9"/>
  <c r="AB24" i="9"/>
  <c r="G37" i="9"/>
  <c r="AG26" i="9"/>
  <c r="AV26" i="9"/>
  <c r="BF21" i="9"/>
  <c r="BA9" i="9"/>
  <c r="AV14" i="9"/>
  <c r="BF10" i="9"/>
  <c r="AE31" i="9"/>
  <c r="U30" i="9"/>
  <c r="AB26" i="9"/>
  <c r="AB20" i="9"/>
  <c r="BF19" i="9"/>
  <c r="AQ19" i="9"/>
  <c r="BA24" i="9"/>
  <c r="AM34" i="9"/>
  <c r="AV16" i="9"/>
  <c r="BF14" i="9"/>
  <c r="Z30" i="9"/>
  <c r="AG20" i="9"/>
  <c r="BF24" i="9"/>
  <c r="AV25" i="9"/>
  <c r="AQ17" i="9"/>
  <c r="AV10" i="9"/>
  <c r="BF16" i="9"/>
  <c r="BF26" i="9"/>
  <c r="BF20" i="9"/>
  <c r="AV24" i="9"/>
  <c r="BA29" i="9"/>
  <c r="AQ14" i="9"/>
  <c r="BA8" i="9"/>
  <c r="AV9" i="9"/>
  <c r="BA19" i="9"/>
  <c r="BF15" i="9"/>
  <c r="BF9" i="9"/>
  <c r="Z31" i="9"/>
  <c r="AE30" i="9"/>
  <c r="U29" i="9"/>
  <c r="AG21" i="9"/>
  <c r="AB25" i="9"/>
  <c r="AB19" i="9"/>
  <c r="AP37" i="9"/>
  <c r="AP36" i="9"/>
  <c r="AM35" i="9"/>
  <c r="AP35" i="9" s="1"/>
  <c r="AQ33" i="9" l="1"/>
  <c r="AQ31" i="9"/>
  <c r="K33" i="9"/>
  <c r="AQ32" i="9"/>
  <c r="AQ34" i="9"/>
  <c r="AQ29" i="9"/>
  <c r="AQ30" i="9"/>
  <c r="K34" i="9"/>
  <c r="K32" i="9"/>
  <c r="AP34" i="9"/>
  <c r="J33" i="9"/>
  <c r="J34" i="9"/>
  <c r="AP31" i="9"/>
  <c r="G32" i="9"/>
  <c r="J32" i="9" s="1"/>
  <c r="AM32" i="9"/>
  <c r="AP32" i="9" s="1"/>
  <c r="AP33" i="9"/>
  <c r="AP30" i="9"/>
  <c r="AM29" i="9"/>
  <c r="AP29" i="9" s="1"/>
  <c r="G35" i="9"/>
  <c r="J35" i="9" s="1"/>
  <c r="J37" i="9"/>
  <c r="J30" i="9"/>
  <c r="J31" i="9"/>
  <c r="AN35" i="9"/>
  <c r="BI74" i="9"/>
  <c r="BI72" i="9"/>
  <c r="BI73" i="9"/>
  <c r="AQ35" i="9" l="1"/>
  <c r="AQ36" i="9"/>
  <c r="AQ37" i="9"/>
  <c r="BG35" i="11"/>
  <c r="BG36" i="11"/>
  <c r="BG34" i="11"/>
</calcChain>
</file>

<file path=xl/sharedStrings.xml><?xml version="1.0" encoding="utf-8"?>
<sst xmlns="http://schemas.openxmlformats.org/spreadsheetml/2006/main" count="314" uniqueCount="108">
  <si>
    <t>得票率</t>
  </si>
  <si>
    <t>得票數</t>
  </si>
  <si>
    <t>號次</t>
  </si>
  <si>
    <t>姓名</t>
  </si>
  <si>
    <t>地區</t>
  </si>
  <si>
    <t>古寧村</t>
    <phoneticPr fontId="1" type="noConversion"/>
  </si>
  <si>
    <t>烏坵鄉</t>
    <phoneticPr fontId="1" type="noConversion"/>
  </si>
  <si>
    <t>烈嶼鄉</t>
    <phoneticPr fontId="1" type="noConversion"/>
  </si>
  <si>
    <t>金沙鎮</t>
    <phoneticPr fontId="1" type="noConversion"/>
  </si>
  <si>
    <t>金湖鎮</t>
    <phoneticPr fontId="1" type="noConversion"/>
  </si>
  <si>
    <t>金寧鄉</t>
    <phoneticPr fontId="1" type="noConversion"/>
  </si>
  <si>
    <t>安美村</t>
    <phoneticPr fontId="1" type="noConversion"/>
  </si>
  <si>
    <t>金城鎮</t>
    <phoneticPr fontId="1" type="noConversion"/>
  </si>
  <si>
    <t>后盤村</t>
    <phoneticPr fontId="1" type="noConversion"/>
  </si>
  <si>
    <t>湖埔村</t>
    <phoneticPr fontId="1" type="noConversion"/>
  </si>
  <si>
    <t>盤山村</t>
    <phoneticPr fontId="1" type="noConversion"/>
  </si>
  <si>
    <t>東門里</t>
    <phoneticPr fontId="1" type="noConversion"/>
  </si>
  <si>
    <t>西門里</t>
    <phoneticPr fontId="1" type="noConversion"/>
  </si>
  <si>
    <t>南門里</t>
    <phoneticPr fontId="1" type="noConversion"/>
  </si>
  <si>
    <t>北門里</t>
    <phoneticPr fontId="1" type="noConversion"/>
  </si>
  <si>
    <t>古城里</t>
    <phoneticPr fontId="1" type="noConversion"/>
  </si>
  <si>
    <t>金水里</t>
    <phoneticPr fontId="1" type="noConversion"/>
  </si>
  <si>
    <t>珠沙里</t>
    <phoneticPr fontId="1" type="noConversion"/>
  </si>
  <si>
    <t>賢庵里</t>
    <phoneticPr fontId="1" type="noConversion"/>
  </si>
  <si>
    <t>上岐村</t>
    <phoneticPr fontId="1" type="noConversion"/>
  </si>
  <si>
    <t>上林村</t>
    <phoneticPr fontId="1" type="noConversion"/>
  </si>
  <si>
    <t>西口村</t>
    <phoneticPr fontId="1" type="noConversion"/>
  </si>
  <si>
    <t>林湖村</t>
    <phoneticPr fontId="1" type="noConversion"/>
  </si>
  <si>
    <t>黃埔村</t>
    <phoneticPr fontId="1" type="noConversion"/>
  </si>
  <si>
    <t>大坵村</t>
    <phoneticPr fontId="1" type="noConversion"/>
  </si>
  <si>
    <t>小坵村</t>
    <phoneticPr fontId="1" type="noConversion"/>
  </si>
  <si>
    <t>榜林村</t>
    <phoneticPr fontId="1" type="noConversion"/>
  </si>
  <si>
    <t>烈嶼鄉</t>
    <phoneticPr fontId="1" type="noConversion"/>
  </si>
  <si>
    <t>金寧鄉</t>
    <phoneticPr fontId="1" type="noConversion"/>
  </si>
  <si>
    <t>金沙鎮</t>
    <phoneticPr fontId="1" type="noConversion"/>
  </si>
  <si>
    <t>金湖鎮</t>
    <phoneticPr fontId="1" type="noConversion"/>
  </si>
  <si>
    <t>烏坵鄉</t>
    <phoneticPr fontId="1" type="noConversion"/>
  </si>
  <si>
    <t>東門里</t>
  </si>
  <si>
    <t>西門里</t>
  </si>
  <si>
    <t>南門里</t>
  </si>
  <si>
    <t>北門里</t>
  </si>
  <si>
    <t>古城里</t>
  </si>
  <si>
    <t>金水里</t>
  </si>
  <si>
    <t>珠沙里</t>
  </si>
  <si>
    <t>賢庵里</t>
  </si>
  <si>
    <t>古寧村</t>
  </si>
  <si>
    <t>安美村</t>
  </si>
  <si>
    <t>后盤村</t>
  </si>
  <si>
    <t>湖埔村</t>
  </si>
  <si>
    <t>榜林村</t>
  </si>
  <si>
    <t>盤山村</t>
  </si>
  <si>
    <t>新市里</t>
  </si>
  <si>
    <t>山外里</t>
  </si>
  <si>
    <t>正義里</t>
  </si>
  <si>
    <t>料羅里</t>
  </si>
  <si>
    <t>瓊林里</t>
  </si>
  <si>
    <t>新湖里</t>
  </si>
  <si>
    <t>溪湖里</t>
  </si>
  <si>
    <t>蓮庵里</t>
  </si>
  <si>
    <t>汶沙里</t>
  </si>
  <si>
    <t>三山里</t>
  </si>
  <si>
    <t>大洋里</t>
  </si>
  <si>
    <t>光前里</t>
  </si>
  <si>
    <t>何斗里</t>
  </si>
  <si>
    <t>西園里</t>
  </si>
  <si>
    <t>官嶼里</t>
  </si>
  <si>
    <t>浦山里</t>
  </si>
  <si>
    <t>上岐村</t>
  </si>
  <si>
    <t>上林村</t>
  </si>
  <si>
    <t>西口村</t>
  </si>
  <si>
    <t>林湖村</t>
  </si>
  <si>
    <t>黃埔村</t>
  </si>
  <si>
    <t>大坵村</t>
  </si>
  <si>
    <t>金城鎮</t>
    <phoneticPr fontId="1" type="noConversion"/>
  </si>
  <si>
    <t>烈嶼鄉</t>
    <phoneticPr fontId="1" type="noConversion"/>
  </si>
  <si>
    <t>總計</t>
    <phoneticPr fontId="1" type="noConversion"/>
  </si>
  <si>
    <t>基準點：北門里</t>
    <phoneticPr fontId="1" type="noConversion"/>
  </si>
  <si>
    <t>尚文凱得票率</t>
    <phoneticPr fontId="1" type="noConversion"/>
  </si>
  <si>
    <t>陳玉珍得票率</t>
    <phoneticPr fontId="1" type="noConversion"/>
  </si>
  <si>
    <t>汶沙里</t>
    <phoneticPr fontId="1" type="noConversion"/>
  </si>
  <si>
    <t>三山里</t>
    <phoneticPr fontId="1" type="noConversion"/>
  </si>
  <si>
    <t>大洋里</t>
    <phoneticPr fontId="1" type="noConversion"/>
  </si>
  <si>
    <t>光前里</t>
    <phoneticPr fontId="1" type="noConversion"/>
  </si>
  <si>
    <t>何斗里</t>
    <phoneticPr fontId="1" type="noConversion"/>
  </si>
  <si>
    <t>西園里</t>
    <phoneticPr fontId="1" type="noConversion"/>
  </si>
  <si>
    <t>官嶼里</t>
    <phoneticPr fontId="1" type="noConversion"/>
  </si>
  <si>
    <t>浦山里</t>
    <phoneticPr fontId="1" type="noConversion"/>
  </si>
  <si>
    <t>新市里</t>
    <phoneticPr fontId="1" type="noConversion"/>
  </si>
  <si>
    <t>山外里</t>
    <phoneticPr fontId="1" type="noConversion"/>
  </si>
  <si>
    <t>正義里</t>
    <phoneticPr fontId="1" type="noConversion"/>
  </si>
  <si>
    <t>料羅里</t>
    <phoneticPr fontId="1" type="noConversion"/>
  </si>
  <si>
    <t>瓊林里</t>
    <phoneticPr fontId="1" type="noConversion"/>
  </si>
  <si>
    <t>新湖里</t>
    <phoneticPr fontId="1" type="noConversion"/>
  </si>
  <si>
    <t>溪湖里</t>
    <phoneticPr fontId="1" type="noConversion"/>
  </si>
  <si>
    <t>蓮庵里</t>
    <phoneticPr fontId="1" type="noConversion"/>
  </si>
  <si>
    <t>①吳炎成</t>
  </si>
  <si>
    <t>②李炷烽</t>
  </si>
  <si>
    <t>③黃積軍</t>
  </si>
  <si>
    <t>④楊肅元</t>
  </si>
  <si>
    <t>⑤翟美玉</t>
  </si>
  <si>
    <t>資料來源｜政大選舉研究中心，製表｜OS259</t>
    <phoneticPr fontId="1" type="noConversion"/>
  </si>
  <si>
    <t>吳炎成</t>
    <phoneticPr fontId="1" type="noConversion"/>
  </si>
  <si>
    <t>李炷烽</t>
    <phoneticPr fontId="1" type="noConversion"/>
  </si>
  <si>
    <t>黃積軍</t>
    <phoneticPr fontId="1" type="noConversion"/>
  </si>
  <si>
    <t>楊肅元</t>
    <phoneticPr fontId="1" type="noConversion"/>
  </si>
  <si>
    <t>翟美玉</t>
    <phoneticPr fontId="1" type="noConversion"/>
  </si>
  <si>
    <t>得票率</t>
    <phoneticPr fontId="1" type="noConversion"/>
  </si>
  <si>
    <t>1996年金門縣國大代表選舉︱投票日：1996.3.23，選舉人數 30173，投票數 20938，有效票 20275，無效票 663，投票率 69.39%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</si>
</sst>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Red]\-0\ "/>
    <numFmt numFmtId="177" formatCode="0_);[Red]\(0\)"/>
    <numFmt numFmtId="178" formatCode="#,##0&quot;票&quot;_ ;[Red]\-#,##0\ "/>
  </numFmts>
  <fonts count="33">
    <font>
      <sz val="12"/>
      <color theme="1"/>
      <name val="新細明體"/>
      <family val="2"/>
      <charset val="136"/>
      <scheme val="minor"/>
    </font>
    <font>
      <sz val="9"/>
      <name val="新細明體"/>
      <family val="2"/>
      <charset val="136"/>
      <scheme val="minor"/>
    </font>
    <font>
      <sz val="12"/>
      <color theme="1"/>
      <name val="Apple Lihei Pro"/>
      <family val="2"/>
      <charset val="136"/>
    </font>
    <font>
      <sz val="10"/>
      <name val="Arial"/>
      <family val="2"/>
    </font>
    <font>
      <sz val="12"/>
      <color theme="0"/>
      <name val="新細明體"/>
      <family val="2"/>
      <charset val="136"/>
      <scheme val="minor"/>
    </font>
    <font>
      <sz val="10"/>
      <color theme="0"/>
      <name val="Apple Lihei Pro"/>
      <family val="2"/>
      <charset val="136"/>
    </font>
    <font>
      <sz val="9"/>
      <name val="冬青黑體簡體中文 W3"/>
      <family val="2"/>
      <charset val="128"/>
    </font>
    <font>
      <sz val="9"/>
      <color theme="1"/>
      <name val="冬青黑體簡體中文 W6"/>
      <family val="2"/>
      <charset val="128"/>
    </font>
    <font>
      <sz val="10"/>
      <name val="Apple Lihei Pro"/>
      <family val="2"/>
      <charset val="136"/>
    </font>
    <font>
      <sz val="12"/>
      <color theme="1"/>
      <name val="冬青黑體簡體中文 W6"/>
      <family val="2"/>
      <charset val="128"/>
    </font>
    <font>
      <sz val="10"/>
      <color theme="1"/>
      <name val="Apple Lihei Pro"/>
      <family val="2"/>
      <charset val="136"/>
    </font>
    <font>
      <sz val="12"/>
      <name val="Apple Lihei Pro"/>
      <family val="2"/>
      <charset val="136"/>
    </font>
    <font>
      <sz val="14"/>
      <color theme="2" tint="-0.749992370372631"/>
      <name val="Apple Lihei Pro"/>
      <family val="2"/>
      <charset val="136"/>
    </font>
    <font>
      <sz val="9"/>
      <color theme="2" tint="-0.749992370372631"/>
      <name val="冬青黑體簡體中文 W6"/>
      <family val="2"/>
      <charset val="128"/>
    </font>
    <font>
      <sz val="12"/>
      <color theme="2" tint="-0.749992370372631"/>
      <name val="新細明體"/>
      <family val="2"/>
      <charset val="136"/>
      <scheme val="minor"/>
    </font>
    <font>
      <sz val="8"/>
      <color theme="2" tint="-0.749992370372631"/>
      <name val="冬青黑體簡體中文 W6"/>
      <family val="2"/>
      <charset val="128"/>
    </font>
    <font>
      <sz val="12"/>
      <color theme="1"/>
      <name val="冬青黑體簡體中文 W3"/>
      <family val="2"/>
      <charset val="128"/>
    </font>
    <font>
      <sz val="12"/>
      <name val="新細明體"/>
      <family val="2"/>
      <charset val="136"/>
      <scheme val="minor"/>
    </font>
    <font>
      <sz val="8"/>
      <color theme="1"/>
      <name val="冬青黑體簡體中文 W6"/>
      <family val="2"/>
      <charset val="128"/>
    </font>
    <font>
      <sz val="10"/>
      <color theme="0"/>
      <name val="冬青黑體簡體中文 W3"/>
      <family val="2"/>
      <charset val="128"/>
    </font>
    <font>
      <sz val="9"/>
      <color theme="0"/>
      <name val="冬青黑體簡體中文 W6"/>
      <family val="2"/>
      <charset val="128"/>
    </font>
    <font>
      <sz val="14"/>
      <name val="Apple Lihei Pro"/>
      <family val="2"/>
      <charset val="136"/>
    </font>
    <font>
      <sz val="9"/>
      <name val="冬青黑體簡體中文 W6"/>
      <family val="2"/>
      <charset val="128"/>
    </font>
    <font>
      <sz val="8"/>
      <name val="冬青黑體簡體中文 W6"/>
      <family val="2"/>
      <charset val="128"/>
    </font>
    <font>
      <sz val="12"/>
      <color theme="1"/>
      <name val="微軟正黑體"/>
      <family val="2"/>
      <charset val="136"/>
    </font>
    <font>
      <sz val="12"/>
      <name val="微軟正黑體"/>
      <family val="2"/>
      <charset val="136"/>
    </font>
    <font>
      <sz val="12"/>
      <name val="Arial"/>
      <family val="2"/>
    </font>
    <font>
      <sz val="11"/>
      <color theme="0"/>
      <name val="Apple Lihei Pro"/>
      <family val="2"/>
      <charset val="136"/>
    </font>
    <font>
      <sz val="11"/>
      <color theme="1"/>
      <name val="Apple Lihei Pro"/>
      <family val="2"/>
      <charset val="136"/>
    </font>
    <font>
      <sz val="11"/>
      <name val="Apple Lihei Pro"/>
      <family val="2"/>
      <charset val="136"/>
    </font>
    <font>
      <sz val="11"/>
      <color theme="1"/>
      <name val="新細明體"/>
      <family val="2"/>
      <charset val="136"/>
      <scheme val="minor"/>
    </font>
    <font>
      <sz val="11"/>
      <name val="冬青黑體簡體中文 W3"/>
      <family val="2"/>
      <charset val="128"/>
    </font>
    <font>
      <sz val="11"/>
      <color theme="0"/>
      <name val="冬青黑體簡體中文 W3"/>
      <family val="2"/>
      <charset val="128"/>
    </font>
  </fonts>
  <fills count="21">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28C8C8"/>
        <bgColor indexed="64"/>
      </patternFill>
    </fill>
    <fill>
      <patternFill patternType="solid">
        <fgColor rgb="FF85E9E7"/>
        <bgColor indexed="64"/>
      </patternFill>
    </fill>
    <fill>
      <patternFill patternType="solid">
        <fgColor rgb="FFC3F4F3"/>
        <bgColor indexed="64"/>
      </patternFill>
    </fill>
    <fill>
      <patternFill patternType="solid">
        <fgColor rgb="FF1D928F"/>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EEFCFB"/>
        <bgColor indexed="64"/>
      </patternFill>
    </fill>
    <fill>
      <patternFill patternType="solid">
        <fgColor theme="2" tint="-0.749992370372631"/>
        <bgColor indexed="64"/>
      </patternFill>
    </fill>
  </fills>
  <borders count="6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style="thick">
        <color theme="6" tint="0.79998168889431442"/>
      </left>
      <right/>
      <top style="thick">
        <color theme="6" tint="0.79998168889431442"/>
      </top>
      <bottom/>
      <diagonal/>
    </border>
    <border>
      <left/>
      <right/>
      <top style="thick">
        <color theme="6" tint="0.79998168889431442"/>
      </top>
      <bottom/>
      <diagonal/>
    </border>
    <border>
      <left/>
      <right style="thick">
        <color theme="6" tint="0.79998168889431442"/>
      </right>
      <top style="thick">
        <color theme="6" tint="0.79998168889431442"/>
      </top>
      <bottom/>
      <diagonal/>
    </border>
    <border>
      <left style="thick">
        <color theme="6" tint="0.79998168889431442"/>
      </left>
      <right/>
      <top/>
      <bottom/>
      <diagonal/>
    </border>
    <border>
      <left/>
      <right style="thick">
        <color theme="6" tint="0.79998168889431442"/>
      </right>
      <top/>
      <bottom/>
      <diagonal/>
    </border>
    <border>
      <left style="thick">
        <color theme="6" tint="0.79998168889431442"/>
      </left>
      <right/>
      <top/>
      <bottom style="thick">
        <color theme="6" tint="0.79998168889431442"/>
      </bottom>
      <diagonal/>
    </border>
    <border>
      <left/>
      <right/>
      <top/>
      <bottom style="thick">
        <color theme="6" tint="0.7999816888943144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ck">
        <color theme="6" tint="0.79989013336588644"/>
      </left>
      <right/>
      <top style="thick">
        <color theme="6" tint="0.79989013336588644"/>
      </top>
      <bottom/>
      <diagonal/>
    </border>
    <border>
      <left/>
      <right/>
      <top style="thick">
        <color theme="6" tint="0.79989013336588644"/>
      </top>
      <bottom/>
      <diagonal/>
    </border>
    <border>
      <left/>
      <right style="thick">
        <color theme="6" tint="0.79989013336588644"/>
      </right>
      <top style="thick">
        <color theme="6" tint="0.79989013336588644"/>
      </top>
      <bottom/>
      <diagonal/>
    </border>
    <border>
      <left style="thick">
        <color theme="6" tint="0.79989013336588644"/>
      </left>
      <right/>
      <top/>
      <bottom/>
      <diagonal/>
    </border>
    <border>
      <left/>
      <right style="thick">
        <color theme="6" tint="0.79989013336588644"/>
      </right>
      <top/>
      <bottom/>
      <diagonal/>
    </border>
    <border>
      <left style="thick">
        <color theme="6" tint="0.79989013336588644"/>
      </left>
      <right/>
      <top/>
      <bottom style="thick">
        <color theme="6" tint="0.79989013336588644"/>
      </bottom>
      <diagonal/>
    </border>
    <border>
      <left/>
      <right/>
      <top/>
      <bottom style="thick">
        <color theme="6" tint="0.79989013336588644"/>
      </bottom>
      <diagonal/>
    </border>
    <border>
      <left/>
      <right style="thick">
        <color theme="6" tint="0.79985961485641044"/>
      </right>
      <top/>
      <bottom/>
      <diagonal/>
    </border>
    <border>
      <left/>
      <right/>
      <top/>
      <bottom style="thick">
        <color theme="6" tint="0.79985961485641044"/>
      </bottom>
      <diagonal/>
    </border>
    <border>
      <left/>
      <right style="thick">
        <color theme="6" tint="0.79985961485641044"/>
      </right>
      <top/>
      <bottom style="thick">
        <color theme="6" tint="0.79985961485641044"/>
      </bottom>
      <diagonal/>
    </border>
    <border>
      <left style="thin">
        <color auto="1"/>
      </left>
      <right style="thin">
        <color auto="1"/>
      </right>
      <top style="thin">
        <color auto="1"/>
      </top>
      <bottom style="thin">
        <color auto="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ck">
        <color theme="6" tint="0.79995117038483843"/>
      </left>
      <right/>
      <top style="thick">
        <color theme="6" tint="0.79995117038483843"/>
      </top>
      <bottom/>
      <diagonal/>
    </border>
    <border>
      <left/>
      <right/>
      <top style="thick">
        <color theme="6" tint="0.79995117038483843"/>
      </top>
      <bottom/>
      <diagonal/>
    </border>
    <border>
      <left/>
      <right style="thick">
        <color theme="6" tint="0.79995117038483843"/>
      </right>
      <top style="thick">
        <color theme="6" tint="0.79995117038483843"/>
      </top>
      <bottom/>
      <diagonal/>
    </border>
    <border>
      <left style="thick">
        <color theme="6" tint="0.79995117038483843"/>
      </left>
      <right/>
      <top/>
      <bottom/>
      <diagonal/>
    </border>
    <border>
      <left/>
      <right style="thick">
        <color theme="6" tint="0.79995117038483843"/>
      </right>
      <top/>
      <bottom/>
      <diagonal/>
    </border>
    <border>
      <left style="thick">
        <color theme="6" tint="0.79995117038483843"/>
      </left>
      <right/>
      <top/>
      <bottom style="thick">
        <color theme="6" tint="0.79995117038483843"/>
      </bottom>
      <diagonal/>
    </border>
    <border>
      <left/>
      <right/>
      <top/>
      <bottom style="thick">
        <color theme="6" tint="0.79995117038483843"/>
      </bottom>
      <diagonal/>
    </border>
    <border>
      <left/>
      <right style="thick">
        <color theme="6" tint="0.79995117038483843"/>
      </right>
      <top/>
      <bottom style="thick">
        <color theme="6" tint="0.79995117038483843"/>
      </bottom>
      <diagonal/>
    </border>
    <border>
      <left style="thick">
        <color theme="6" tint="0.79985961485641044"/>
      </left>
      <right/>
      <top style="thick">
        <color theme="6" tint="0.79985961485641044"/>
      </top>
      <bottom/>
      <diagonal/>
    </border>
    <border>
      <left/>
      <right/>
      <top style="thick">
        <color theme="6" tint="0.79985961485641044"/>
      </top>
      <bottom/>
      <diagonal/>
    </border>
    <border>
      <left/>
      <right style="thick">
        <color theme="6" tint="0.79985961485641044"/>
      </right>
      <top style="thick">
        <color theme="6" tint="0.79985961485641044"/>
      </top>
      <bottom/>
      <diagonal/>
    </border>
    <border>
      <left style="thick">
        <color theme="6" tint="0.79985961485641044"/>
      </left>
      <right/>
      <top/>
      <bottom/>
      <diagonal/>
    </border>
    <border>
      <left style="thick">
        <color theme="6" tint="0.79985961485641044"/>
      </left>
      <right/>
      <top/>
      <bottom style="thick">
        <color theme="6" tint="0.79985961485641044"/>
      </bottom>
      <diagonal/>
    </border>
    <border>
      <left/>
      <right style="thick">
        <color theme="6" tint="0.79998168889431442"/>
      </right>
      <top style="thick">
        <color theme="6" tint="0.79995117038483843"/>
      </top>
      <bottom/>
      <diagonal/>
    </border>
    <border>
      <left style="thick">
        <color theme="6" tint="0.79992065187536243"/>
      </left>
      <right/>
      <top style="thick">
        <color theme="6" tint="0.79992065187536243"/>
      </top>
      <bottom/>
      <diagonal/>
    </border>
    <border>
      <left/>
      <right/>
      <top style="thick">
        <color theme="6" tint="0.79992065187536243"/>
      </top>
      <bottom/>
      <diagonal/>
    </border>
    <border>
      <left/>
      <right style="thick">
        <color theme="6" tint="0.79992065187536243"/>
      </right>
      <top style="thick">
        <color theme="6" tint="0.79992065187536243"/>
      </top>
      <bottom/>
      <diagonal/>
    </border>
    <border>
      <left style="thick">
        <color theme="6" tint="0.79992065187536243"/>
      </left>
      <right/>
      <top/>
      <bottom/>
      <diagonal/>
    </border>
    <border>
      <left/>
      <right style="thick">
        <color theme="6" tint="0.79992065187536243"/>
      </right>
      <top/>
      <bottom/>
      <diagonal/>
    </border>
    <border>
      <left style="thick">
        <color theme="6" tint="0.79992065187536243"/>
      </left>
      <right/>
      <top/>
      <bottom style="thick">
        <color theme="6" tint="0.79992065187536243"/>
      </bottom>
      <diagonal/>
    </border>
    <border>
      <left/>
      <right/>
      <top/>
      <bottom style="thick">
        <color theme="6" tint="0.79992065187536243"/>
      </bottom>
      <diagonal/>
    </border>
    <border>
      <left/>
      <right style="thick">
        <color theme="6" tint="0.79992065187536243"/>
      </right>
      <top/>
      <bottom style="thick">
        <color theme="6" tint="0.79992065187536243"/>
      </bottom>
      <diagonal/>
    </border>
    <border>
      <left/>
      <right style="thick">
        <color theme="6" tint="0.79989013336588644"/>
      </right>
      <top/>
      <bottom style="thick">
        <color theme="6" tint="0.7999511703848384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theme="0"/>
      </right>
      <top style="thin">
        <color theme="0"/>
      </top>
      <bottom/>
      <diagonal/>
    </border>
    <border>
      <left/>
      <right style="thin">
        <color theme="0"/>
      </right>
      <top/>
      <bottom/>
      <diagonal/>
    </border>
  </borders>
  <cellStyleXfs count="2">
    <xf numFmtId="0" fontId="0" fillId="0" borderId="0">
      <alignment vertical="center"/>
    </xf>
    <xf numFmtId="0" fontId="3" fillId="0" borderId="0" applyNumberFormat="0" applyFont="0" applyFill="0" applyBorder="0" applyAlignment="0" applyProtection="0"/>
  </cellStyleXfs>
  <cellXfs count="234">
    <xf numFmtId="0" fontId="0" fillId="0" borderId="0" xfId="0">
      <alignment vertical="center"/>
    </xf>
    <xf numFmtId="0" fontId="2" fillId="2" borderId="0" xfId="0" applyFont="1" applyFill="1">
      <alignment vertical="center"/>
    </xf>
    <xf numFmtId="0" fontId="2" fillId="5" borderId="10" xfId="0" applyFont="1" applyFill="1" applyBorder="1">
      <alignment vertical="center"/>
    </xf>
    <xf numFmtId="0" fontId="2" fillId="5" borderId="0" xfId="0" applyFont="1" applyFill="1">
      <alignment vertical="center"/>
    </xf>
    <xf numFmtId="0" fontId="4" fillId="0" borderId="0" xfId="0" applyFont="1" applyAlignment="1">
      <alignment horizontal="center" vertical="center"/>
    </xf>
    <xf numFmtId="0" fontId="9" fillId="5" borderId="0" xfId="0" applyFont="1" applyFill="1">
      <alignment vertical="center"/>
    </xf>
    <xf numFmtId="0" fontId="10" fillId="2" borderId="0" xfId="0" applyFont="1" applyFill="1" applyAlignment="1">
      <alignment horizontal="center" vertical="center"/>
    </xf>
    <xf numFmtId="0" fontId="2" fillId="2" borderId="0" xfId="0" applyFont="1" applyFill="1" applyAlignment="1">
      <alignment horizontal="center" vertical="center"/>
    </xf>
    <xf numFmtId="0" fontId="11" fillId="0" borderId="0" xfId="0" applyFont="1">
      <alignment vertical="center"/>
    </xf>
    <xf numFmtId="176" fontId="2" fillId="2" borderId="0" xfId="0" applyNumberFormat="1" applyFont="1" applyFill="1">
      <alignment vertical="center"/>
    </xf>
    <xf numFmtId="0" fontId="16" fillId="0" borderId="37" xfId="0" applyFont="1" applyBorder="1" applyAlignment="1">
      <alignment horizontal="center" vertical="center"/>
    </xf>
    <xf numFmtId="176" fontId="16" fillId="0" borderId="37" xfId="0" applyNumberFormat="1" applyFont="1" applyBorder="1">
      <alignment vertical="center"/>
    </xf>
    <xf numFmtId="10" fontId="16" fillId="0" borderId="37" xfId="0" applyNumberFormat="1" applyFont="1" applyBorder="1">
      <alignment vertical="center"/>
    </xf>
    <xf numFmtId="0" fontId="2" fillId="5" borderId="9" xfId="0" applyFont="1" applyFill="1" applyBorder="1">
      <alignment vertical="center"/>
    </xf>
    <xf numFmtId="0" fontId="2" fillId="5" borderId="7" xfId="0" applyFont="1" applyFill="1" applyBorder="1">
      <alignment vertical="center"/>
    </xf>
    <xf numFmtId="0" fontId="2" fillId="5" borderId="12" xfId="0" applyFont="1" applyFill="1" applyBorder="1">
      <alignment vertical="center"/>
    </xf>
    <xf numFmtId="0" fontId="2" fillId="5" borderId="8" xfId="0" applyFont="1" applyFill="1" applyBorder="1">
      <alignment vertical="center"/>
    </xf>
    <xf numFmtId="0" fontId="2" fillId="5" borderId="11" xfId="0" applyFont="1" applyFill="1" applyBorder="1">
      <alignment vertical="center"/>
    </xf>
    <xf numFmtId="0" fontId="2" fillId="5" borderId="6" xfId="0" applyFont="1" applyFill="1" applyBorder="1">
      <alignment vertical="center"/>
    </xf>
    <xf numFmtId="0" fontId="2" fillId="5" borderId="5" xfId="0" applyFont="1" applyFill="1" applyBorder="1">
      <alignment vertical="center"/>
    </xf>
    <xf numFmtId="0" fontId="8" fillId="5" borderId="0" xfId="0" applyFont="1" applyFill="1" applyAlignment="1">
      <alignment vertical="center" textRotation="255"/>
    </xf>
    <xf numFmtId="176" fontId="8" fillId="5" borderId="0" xfId="0" applyNumberFormat="1" applyFont="1" applyFill="1" applyAlignment="1">
      <alignment horizontal="center" vertical="center"/>
    </xf>
    <xf numFmtId="0" fontId="17" fillId="5" borderId="0" xfId="0" applyFont="1" applyFill="1">
      <alignment vertical="center"/>
    </xf>
    <xf numFmtId="176" fontId="6" fillId="5" borderId="0" xfId="0" applyNumberFormat="1" applyFont="1" applyFill="1">
      <alignment vertical="center"/>
    </xf>
    <xf numFmtId="10" fontId="6" fillId="5" borderId="0" xfId="0" applyNumberFormat="1" applyFont="1" applyFill="1">
      <alignment vertical="center"/>
    </xf>
    <xf numFmtId="0" fontId="17" fillId="5" borderId="0" xfId="0" applyFont="1" applyFill="1" applyAlignment="1">
      <alignment vertical="center" textRotation="255"/>
    </xf>
    <xf numFmtId="176" fontId="17" fillId="5" borderId="0" xfId="0" applyNumberFormat="1" applyFont="1" applyFill="1">
      <alignment vertical="center"/>
    </xf>
    <xf numFmtId="0" fontId="0" fillId="5" borderId="0" xfId="0" applyFill="1">
      <alignment vertical="center"/>
    </xf>
    <xf numFmtId="0" fontId="2" fillId="5" borderId="0" xfId="0" applyFont="1" applyFill="1" applyAlignment="1">
      <alignment horizontal="right" vertical="center"/>
    </xf>
    <xf numFmtId="177" fontId="15" fillId="2" borderId="19" xfId="0" applyNumberFormat="1" applyFont="1" applyFill="1" applyBorder="1" applyAlignment="1">
      <alignment horizontal="right" vertical="center"/>
    </xf>
    <xf numFmtId="177" fontId="15" fillId="2" borderId="0" xfId="0" applyNumberFormat="1" applyFont="1" applyFill="1" applyAlignment="1">
      <alignment horizontal="right" vertical="center"/>
    </xf>
    <xf numFmtId="177" fontId="15" fillId="2" borderId="17" xfId="0" applyNumberFormat="1" applyFont="1" applyFill="1" applyBorder="1" applyAlignment="1">
      <alignment horizontal="right" vertical="center"/>
    </xf>
    <xf numFmtId="177" fontId="15" fillId="2" borderId="31" xfId="0" applyNumberFormat="1" applyFont="1" applyFill="1" applyBorder="1" applyAlignment="1">
      <alignment horizontal="right" vertical="center"/>
    </xf>
    <xf numFmtId="177" fontId="15" fillId="2" borderId="35" xfId="0" applyNumberFormat="1" applyFont="1" applyFill="1" applyBorder="1" applyAlignment="1">
      <alignment horizontal="right" vertical="center"/>
    </xf>
    <xf numFmtId="0" fontId="18" fillId="2" borderId="34" xfId="0" applyFont="1" applyFill="1" applyBorder="1" applyAlignment="1">
      <alignment horizontal="right" vertical="center"/>
    </xf>
    <xf numFmtId="0" fontId="18" fillId="2" borderId="36" xfId="0" applyFont="1" applyFill="1" applyBorder="1" applyAlignment="1">
      <alignment horizontal="right" vertical="center"/>
    </xf>
    <xf numFmtId="177" fontId="15" fillId="2" borderId="57" xfId="0" applyNumberFormat="1" applyFont="1" applyFill="1" applyBorder="1" applyAlignment="1">
      <alignment horizontal="right" vertical="center"/>
    </xf>
    <xf numFmtId="177" fontId="15" fillId="2" borderId="59" xfId="0" applyNumberFormat="1" applyFont="1" applyFill="1" applyBorder="1" applyAlignment="1">
      <alignment horizontal="right" vertical="center"/>
    </xf>
    <xf numFmtId="177" fontId="15" fillId="2" borderId="60" xfId="0" applyNumberFormat="1" applyFont="1" applyFill="1" applyBorder="1" applyAlignment="1">
      <alignment horizontal="right" vertical="center"/>
    </xf>
    <xf numFmtId="0" fontId="19" fillId="2" borderId="0" xfId="0" applyFont="1" applyFill="1" applyAlignment="1">
      <alignment horizontal="center" vertical="center"/>
    </xf>
    <xf numFmtId="178" fontId="16" fillId="0" borderId="37" xfId="0" applyNumberFormat="1" applyFont="1" applyBorder="1" applyAlignment="1">
      <alignment horizontal="right" vertical="center"/>
    </xf>
    <xf numFmtId="0" fontId="2" fillId="20" borderId="63" xfId="0" applyFont="1" applyFill="1" applyBorder="1">
      <alignment vertical="center"/>
    </xf>
    <xf numFmtId="0" fontId="20" fillId="20" borderId="64" xfId="0" applyFont="1" applyFill="1" applyBorder="1" applyAlignment="1">
      <alignment horizontal="right" vertical="center" indent="1"/>
    </xf>
    <xf numFmtId="0" fontId="20" fillId="20" borderId="62" xfId="0" applyFont="1" applyFill="1" applyBorder="1" applyAlignment="1">
      <alignment horizontal="left" vertical="center" indent="1"/>
    </xf>
    <xf numFmtId="0" fontId="25" fillId="0" borderId="1" xfId="1" applyNumberFormat="1" applyFont="1" applyFill="1" applyBorder="1" applyAlignment="1">
      <alignment horizontal="center" vertical="center" wrapText="1"/>
    </xf>
    <xf numFmtId="0" fontId="26" fillId="0" borderId="0" xfId="1" applyNumberFormat="1" applyFont="1" applyFill="1" applyBorder="1" applyAlignment="1"/>
    <xf numFmtId="10" fontId="25" fillId="0" borderId="1" xfId="1" applyNumberFormat="1" applyFont="1" applyFill="1" applyBorder="1" applyAlignment="1">
      <alignment horizontal="right" vertical="center" wrapText="1"/>
    </xf>
    <xf numFmtId="0" fontId="25" fillId="17" borderId="1" xfId="1" applyNumberFormat="1" applyFont="1" applyFill="1" applyBorder="1" applyAlignment="1">
      <alignment horizontal="right" vertical="center" wrapText="1"/>
    </xf>
    <xf numFmtId="0" fontId="28" fillId="2" borderId="0" xfId="0" applyFont="1" applyFill="1">
      <alignment vertical="center"/>
    </xf>
    <xf numFmtId="176" fontId="28" fillId="2" borderId="0" xfId="0" applyNumberFormat="1" applyFont="1" applyFill="1">
      <alignment vertical="center"/>
    </xf>
    <xf numFmtId="0" fontId="32" fillId="2" borderId="0" xfId="0" applyFont="1" applyFill="1" applyAlignment="1">
      <alignment horizontal="center" vertical="center"/>
    </xf>
    <xf numFmtId="176" fontId="32" fillId="2" borderId="0" xfId="0" applyNumberFormat="1" applyFont="1" applyFill="1">
      <alignment vertical="center"/>
    </xf>
    <xf numFmtId="0" fontId="27" fillId="2" borderId="26" xfId="0" applyFont="1" applyFill="1" applyBorder="1" applyAlignment="1">
      <alignment horizontal="center" vertical="center" textRotation="255"/>
    </xf>
    <xf numFmtId="176" fontId="29" fillId="2" borderId="20" xfId="0" applyNumberFormat="1" applyFont="1" applyFill="1" applyBorder="1" applyAlignment="1">
      <alignment horizontal="center" vertical="center"/>
    </xf>
    <xf numFmtId="0" fontId="30" fillId="2" borderId="20" xfId="0" applyFont="1" applyFill="1" applyBorder="1" applyAlignment="1">
      <alignment vertical="center"/>
    </xf>
    <xf numFmtId="176" fontId="31" fillId="2" borderId="21" xfId="0" applyNumberFormat="1" applyFont="1" applyFill="1" applyBorder="1" applyAlignment="1">
      <alignment horizontal="right" vertical="center"/>
    </xf>
    <xf numFmtId="176" fontId="31" fillId="2" borderId="22" xfId="0" applyNumberFormat="1" applyFont="1" applyFill="1" applyBorder="1" applyAlignment="1">
      <alignment horizontal="right" vertical="center"/>
    </xf>
    <xf numFmtId="176" fontId="31" fillId="2" borderId="23" xfId="0" applyNumberFormat="1" applyFont="1" applyFill="1" applyBorder="1" applyAlignment="1">
      <alignment horizontal="right" vertical="center"/>
    </xf>
    <xf numFmtId="10" fontId="31" fillId="2" borderId="20" xfId="0" applyNumberFormat="1" applyFont="1" applyFill="1" applyBorder="1" applyAlignment="1">
      <alignment vertical="center"/>
    </xf>
    <xf numFmtId="0" fontId="28" fillId="2" borderId="0" xfId="0" applyFont="1" applyFill="1" applyAlignment="1">
      <alignment vertical="center"/>
    </xf>
    <xf numFmtId="9" fontId="7" fillId="5" borderId="0" xfId="0" applyNumberFormat="1" applyFont="1" applyFill="1" applyAlignment="1">
      <alignment horizontal="left" vertical="center"/>
    </xf>
    <xf numFmtId="0" fontId="7" fillId="0" borderId="0" xfId="0" applyFont="1" applyAlignment="1">
      <alignment horizontal="left" vertical="center"/>
    </xf>
    <xf numFmtId="0" fontId="12" fillId="2" borderId="39" xfId="0"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41" xfId="0" applyFont="1" applyFill="1" applyBorder="1" applyAlignment="1">
      <alignment horizontal="center" vertical="center" wrapText="1"/>
    </xf>
    <xf numFmtId="0" fontId="12" fillId="2" borderId="42"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43" xfId="0" applyFont="1" applyFill="1" applyBorder="1" applyAlignment="1">
      <alignment horizontal="center" vertical="center" wrapText="1"/>
    </xf>
    <xf numFmtId="0" fontId="13" fillId="2" borderId="42" xfId="0" applyFont="1" applyFill="1" applyBorder="1" applyAlignment="1">
      <alignment horizontal="right" vertical="top" wrapText="1"/>
    </xf>
    <xf numFmtId="0" fontId="13" fillId="2" borderId="0" xfId="0" applyFont="1" applyFill="1" applyAlignment="1">
      <alignment horizontal="right" vertical="top" wrapText="1"/>
    </xf>
    <xf numFmtId="176" fontId="15" fillId="2" borderId="0" xfId="0" applyNumberFormat="1" applyFont="1" applyFill="1" applyAlignment="1">
      <alignment vertical="top"/>
    </xf>
    <xf numFmtId="176" fontId="15" fillId="2" borderId="43" xfId="0" applyNumberFormat="1" applyFont="1" applyFill="1" applyBorder="1" applyAlignment="1">
      <alignment vertical="top"/>
    </xf>
    <xf numFmtId="176" fontId="15" fillId="2" borderId="0" xfId="0" applyNumberFormat="1" applyFont="1" applyFill="1" applyAlignment="1">
      <alignment horizontal="right" vertical="top"/>
    </xf>
    <xf numFmtId="176" fontId="15" fillId="2" borderId="43" xfId="0" applyNumberFormat="1" applyFont="1" applyFill="1" applyBorder="1" applyAlignment="1">
      <alignment horizontal="right" vertical="top"/>
    </xf>
    <xf numFmtId="0" fontId="13" fillId="2" borderId="44" xfId="0" applyFont="1" applyFill="1" applyBorder="1" applyAlignment="1">
      <alignment horizontal="right" vertical="top" wrapText="1"/>
    </xf>
    <xf numFmtId="0" fontId="13" fillId="2" borderId="45" xfId="0" applyFont="1" applyFill="1" applyBorder="1" applyAlignment="1">
      <alignment horizontal="right" vertical="top" wrapText="1"/>
    </xf>
    <xf numFmtId="176" fontId="15" fillId="2" borderId="45" xfId="0" applyNumberFormat="1" applyFont="1" applyFill="1" applyBorder="1" applyAlignment="1">
      <alignment horizontal="right" vertical="top"/>
    </xf>
    <xf numFmtId="176" fontId="15" fillId="2" borderId="46" xfId="0" applyNumberFormat="1" applyFont="1" applyFill="1" applyBorder="1" applyAlignment="1">
      <alignment horizontal="right" vertical="top"/>
    </xf>
    <xf numFmtId="0" fontId="2" fillId="19" borderId="0" xfId="0" applyFont="1" applyFill="1">
      <alignment vertical="center"/>
    </xf>
    <xf numFmtId="0" fontId="0" fillId="19" borderId="0" xfId="0" applyFill="1">
      <alignment vertical="center"/>
    </xf>
    <xf numFmtId="0" fontId="2" fillId="15" borderId="0" xfId="0" applyFont="1" applyFill="1">
      <alignment vertical="center"/>
    </xf>
    <xf numFmtId="0" fontId="0" fillId="15" borderId="0" xfId="0" applyFill="1">
      <alignment vertical="center"/>
    </xf>
    <xf numFmtId="0" fontId="2" fillId="14" borderId="0" xfId="0" applyFont="1" applyFill="1">
      <alignment vertical="center"/>
    </xf>
    <xf numFmtId="0" fontId="0" fillId="14" borderId="0" xfId="0" applyFill="1">
      <alignment vertical="center"/>
    </xf>
    <xf numFmtId="0" fontId="2" fillId="13" borderId="0" xfId="0" applyFont="1" applyFill="1">
      <alignment vertical="center"/>
    </xf>
    <xf numFmtId="0" fontId="0" fillId="13" borderId="0" xfId="0" applyFill="1">
      <alignment vertical="center"/>
    </xf>
    <xf numFmtId="0" fontId="2" fillId="16" borderId="0" xfId="0" applyFont="1" applyFill="1">
      <alignment vertical="center"/>
    </xf>
    <xf numFmtId="0" fontId="0" fillId="16" borderId="0" xfId="0" applyFill="1">
      <alignment vertical="center"/>
    </xf>
    <xf numFmtId="0" fontId="12" fillId="2" borderId="52" xfId="0" applyFont="1" applyFill="1" applyBorder="1" applyAlignment="1">
      <alignment horizontal="center" vertical="center" wrapText="1"/>
    </xf>
    <xf numFmtId="0" fontId="12" fillId="2" borderId="17" xfId="0" applyFont="1" applyFill="1" applyBorder="1" applyAlignment="1">
      <alignment horizontal="center" vertical="center" wrapText="1"/>
    </xf>
    <xf numFmtId="176" fontId="15" fillId="2" borderId="61" xfId="0" applyNumberFormat="1" applyFont="1" applyFill="1" applyBorder="1" applyAlignment="1">
      <alignment horizontal="right" vertical="top"/>
    </xf>
    <xf numFmtId="176" fontId="15" fillId="2" borderId="45" xfId="0" applyNumberFormat="1" applyFont="1" applyFill="1" applyBorder="1" applyAlignment="1">
      <alignment vertical="top"/>
    </xf>
    <xf numFmtId="176" fontId="15" fillId="2" borderId="46" xfId="0" applyNumberFormat="1" applyFont="1" applyFill="1" applyBorder="1" applyAlignment="1">
      <alignment vertical="top"/>
    </xf>
    <xf numFmtId="176" fontId="15" fillId="2" borderId="31" xfId="0" applyNumberFormat="1" applyFont="1" applyFill="1" applyBorder="1" applyAlignment="1">
      <alignment vertical="top"/>
    </xf>
    <xf numFmtId="0" fontId="5" fillId="4" borderId="38" xfId="0" applyFont="1" applyFill="1" applyBorder="1" applyAlignment="1">
      <alignment vertical="center" textRotation="255"/>
    </xf>
    <xf numFmtId="0" fontId="0" fillId="0" borderId="38" xfId="0" applyBorder="1" applyAlignment="1">
      <alignment vertical="center" textRotation="255"/>
    </xf>
    <xf numFmtId="176" fontId="8" fillId="18" borderId="38" xfId="0" applyNumberFormat="1" applyFont="1" applyFill="1" applyBorder="1" applyAlignment="1">
      <alignment horizontal="center" vertical="center"/>
    </xf>
    <xf numFmtId="0" fontId="0" fillId="18" borderId="38" xfId="0" applyFill="1" applyBorder="1">
      <alignment vertical="center"/>
    </xf>
    <xf numFmtId="176" fontId="29" fillId="6" borderId="21" xfId="0" applyNumberFormat="1" applyFont="1" applyFill="1" applyBorder="1" applyAlignment="1">
      <alignment horizontal="center" vertical="center"/>
    </xf>
    <xf numFmtId="176" fontId="29" fillId="6" borderId="22" xfId="0" applyNumberFormat="1" applyFont="1" applyFill="1" applyBorder="1" applyAlignment="1">
      <alignment horizontal="center" vertical="center"/>
    </xf>
    <xf numFmtId="176" fontId="29" fillId="6" borderId="23" xfId="0" applyNumberFormat="1" applyFont="1" applyFill="1" applyBorder="1" applyAlignment="1">
      <alignment horizontal="center" vertical="center"/>
    </xf>
    <xf numFmtId="10" fontId="31" fillId="6" borderId="20" xfId="0" applyNumberFormat="1" applyFont="1" applyFill="1" applyBorder="1">
      <alignment vertical="center"/>
    </xf>
    <xf numFmtId="0" fontId="30" fillId="0" borderId="20" xfId="0" applyFont="1" applyBorder="1">
      <alignment vertical="center"/>
    </xf>
    <xf numFmtId="176" fontId="29" fillId="8" borderId="20" xfId="0" applyNumberFormat="1" applyFont="1" applyFill="1" applyBorder="1" applyAlignment="1">
      <alignment horizontal="center" vertical="center"/>
    </xf>
    <xf numFmtId="0" fontId="30" fillId="8" borderId="20" xfId="0" applyFont="1" applyFill="1" applyBorder="1">
      <alignment vertical="center"/>
    </xf>
    <xf numFmtId="176" fontId="31" fillId="8" borderId="21" xfId="0" applyNumberFormat="1" applyFont="1" applyFill="1" applyBorder="1" applyAlignment="1">
      <alignment horizontal="right" vertical="center"/>
    </xf>
    <xf numFmtId="0" fontId="30" fillId="8" borderId="22" xfId="0" applyFont="1" applyFill="1" applyBorder="1">
      <alignment vertical="center"/>
    </xf>
    <xf numFmtId="0" fontId="30" fillId="8" borderId="23" xfId="0" applyFont="1" applyFill="1" applyBorder="1">
      <alignment vertical="center"/>
    </xf>
    <xf numFmtId="10" fontId="31" fillId="8" borderId="20" xfId="0" applyNumberFormat="1" applyFont="1" applyFill="1" applyBorder="1">
      <alignment vertical="center"/>
    </xf>
    <xf numFmtId="176" fontId="29" fillId="6" borderId="20" xfId="0" applyNumberFormat="1" applyFont="1" applyFill="1" applyBorder="1" applyAlignment="1">
      <alignment horizontal="center" vertical="center"/>
    </xf>
    <xf numFmtId="176" fontId="31" fillId="6" borderId="21" xfId="0" applyNumberFormat="1" applyFont="1" applyFill="1" applyBorder="1" applyAlignment="1">
      <alignment horizontal="right" vertical="center"/>
    </xf>
    <xf numFmtId="0" fontId="30" fillId="0" borderId="22" xfId="0" applyFont="1" applyBorder="1">
      <alignment vertical="center"/>
    </xf>
    <xf numFmtId="0" fontId="30" fillId="0" borderId="23" xfId="0" applyFont="1" applyBorder="1">
      <alignment vertical="center"/>
    </xf>
    <xf numFmtId="176" fontId="29" fillId="8" borderId="21" xfId="0" applyNumberFormat="1" applyFont="1" applyFill="1" applyBorder="1" applyAlignment="1">
      <alignment horizontal="center" vertical="center"/>
    </xf>
    <xf numFmtId="176" fontId="29" fillId="8" borderId="22" xfId="0" applyNumberFormat="1" applyFont="1" applyFill="1" applyBorder="1" applyAlignment="1">
      <alignment horizontal="center" vertical="center"/>
    </xf>
    <xf numFmtId="176" fontId="29" fillId="8" borderId="23" xfId="0" applyNumberFormat="1" applyFont="1" applyFill="1" applyBorder="1" applyAlignment="1">
      <alignment horizontal="center" vertical="center"/>
    </xf>
    <xf numFmtId="0" fontId="5" fillId="7" borderId="38" xfId="0" applyFont="1" applyFill="1" applyBorder="1" applyAlignment="1">
      <alignment vertical="center" textRotation="255"/>
    </xf>
    <xf numFmtId="176" fontId="6" fillId="18" borderId="38" xfId="0" applyNumberFormat="1" applyFont="1" applyFill="1" applyBorder="1">
      <alignment vertical="center"/>
    </xf>
    <xf numFmtId="176" fontId="0" fillId="18" borderId="38" xfId="0" applyNumberFormat="1" applyFill="1" applyBorder="1">
      <alignment vertical="center"/>
    </xf>
    <xf numFmtId="10" fontId="6" fillId="18" borderId="38" xfId="0" applyNumberFormat="1" applyFont="1" applyFill="1" applyBorder="1">
      <alignment vertical="center"/>
    </xf>
    <xf numFmtId="10" fontId="31" fillId="8" borderId="21" xfId="0" applyNumberFormat="1" applyFont="1" applyFill="1" applyBorder="1">
      <alignment vertical="center"/>
    </xf>
    <xf numFmtId="10" fontId="31" fillId="8" borderId="22" xfId="0" applyNumberFormat="1" applyFont="1" applyFill="1" applyBorder="1">
      <alignment vertical="center"/>
    </xf>
    <xf numFmtId="10" fontId="31" fillId="8" borderId="23" xfId="0" applyNumberFormat="1" applyFont="1" applyFill="1" applyBorder="1">
      <alignment vertical="center"/>
    </xf>
    <xf numFmtId="0" fontId="27" fillId="4" borderId="24" xfId="0" applyFont="1" applyFill="1" applyBorder="1" applyAlignment="1">
      <alignment horizontal="center" vertical="center" textRotation="255"/>
    </xf>
    <xf numFmtId="0" fontId="30" fillId="0" borderId="25" xfId="0" applyFont="1" applyBorder="1" applyAlignment="1">
      <alignment horizontal="center" vertical="center" textRotation="255"/>
    </xf>
    <xf numFmtId="0" fontId="30" fillId="0" borderId="25" xfId="0" applyFont="1" applyBorder="1" applyAlignment="1">
      <alignment vertical="center"/>
    </xf>
    <xf numFmtId="0" fontId="30" fillId="0" borderId="26" xfId="0" applyFont="1" applyBorder="1" applyAlignment="1">
      <alignment vertical="center"/>
    </xf>
    <xf numFmtId="0" fontId="27" fillId="3" borderId="20" xfId="0" applyFont="1" applyFill="1" applyBorder="1" applyAlignment="1">
      <alignment horizontal="center" vertical="center"/>
    </xf>
    <xf numFmtId="0" fontId="27" fillId="3" borderId="21" xfId="0" applyFont="1" applyFill="1" applyBorder="1" applyAlignment="1">
      <alignment horizontal="center" vertical="center"/>
    </xf>
    <xf numFmtId="0" fontId="27" fillId="3" borderId="22" xfId="0" applyFont="1" applyFill="1" applyBorder="1" applyAlignment="1">
      <alignment horizontal="center" vertical="center"/>
    </xf>
    <xf numFmtId="0" fontId="27" fillId="3" borderId="23" xfId="0" applyFont="1" applyFill="1" applyBorder="1" applyAlignment="1">
      <alignment horizontal="center" vertical="center"/>
    </xf>
    <xf numFmtId="176" fontId="8" fillId="8" borderId="38" xfId="0" applyNumberFormat="1" applyFont="1" applyFill="1" applyBorder="1" applyAlignment="1">
      <alignment horizontal="center" vertical="center"/>
    </xf>
    <xf numFmtId="0" fontId="0" fillId="8" borderId="38" xfId="0" applyFill="1" applyBorder="1">
      <alignment vertical="center"/>
    </xf>
    <xf numFmtId="176" fontId="6" fillId="8" borderId="38" xfId="0" applyNumberFormat="1" applyFont="1" applyFill="1" applyBorder="1">
      <alignment vertical="center"/>
    </xf>
    <xf numFmtId="176" fontId="0" fillId="8" borderId="38" xfId="0" applyNumberFormat="1" applyFill="1" applyBorder="1">
      <alignment vertical="center"/>
    </xf>
    <xf numFmtId="10" fontId="6" fillId="8" borderId="38" xfId="0" applyNumberFormat="1" applyFont="1" applyFill="1" applyBorder="1">
      <alignment vertical="center"/>
    </xf>
    <xf numFmtId="176" fontId="15" fillId="2" borderId="31" xfId="0" applyNumberFormat="1" applyFont="1" applyFill="1" applyBorder="1" applyAlignment="1">
      <alignment horizontal="right" vertical="top"/>
    </xf>
    <xf numFmtId="176" fontId="31" fillId="6" borderId="22" xfId="0" applyNumberFormat="1" applyFont="1" applyFill="1" applyBorder="1" applyAlignment="1">
      <alignment horizontal="right" vertical="center"/>
    </xf>
    <xf numFmtId="176" fontId="31" fillId="6" borderId="23" xfId="0" applyNumberFormat="1" applyFont="1" applyFill="1" applyBorder="1" applyAlignment="1">
      <alignment horizontal="right" vertical="center"/>
    </xf>
    <xf numFmtId="0" fontId="22" fillId="5" borderId="42" xfId="0" applyFont="1" applyFill="1" applyBorder="1" applyAlignment="1">
      <alignment horizontal="right" vertical="top" wrapText="1"/>
    </xf>
    <xf numFmtId="0" fontId="22" fillId="5" borderId="0" xfId="0" applyFont="1" applyFill="1" applyAlignment="1">
      <alignment horizontal="right" vertical="top" wrapText="1"/>
    </xf>
    <xf numFmtId="176" fontId="23" fillId="5" borderId="0" xfId="0" applyNumberFormat="1" applyFont="1" applyFill="1" applyAlignment="1">
      <alignment vertical="top"/>
    </xf>
    <xf numFmtId="176" fontId="23" fillId="5" borderId="43" xfId="0" applyNumberFormat="1" applyFont="1" applyFill="1" applyBorder="1" applyAlignment="1">
      <alignment vertical="top"/>
    </xf>
    <xf numFmtId="176" fontId="23" fillId="5" borderId="0" xfId="0" applyNumberFormat="1" applyFont="1" applyFill="1" applyAlignment="1">
      <alignment horizontal="right" vertical="top"/>
    </xf>
    <xf numFmtId="176" fontId="23" fillId="5" borderId="43" xfId="0" applyNumberFormat="1" applyFont="1" applyFill="1" applyBorder="1" applyAlignment="1">
      <alignment horizontal="right" vertical="top"/>
    </xf>
    <xf numFmtId="0" fontId="22" fillId="5" borderId="44" xfId="0" applyFont="1" applyFill="1" applyBorder="1" applyAlignment="1">
      <alignment horizontal="right" vertical="top" wrapText="1"/>
    </xf>
    <xf numFmtId="0" fontId="22" fillId="5" borderId="45" xfId="0" applyFont="1" applyFill="1" applyBorder="1" applyAlignment="1">
      <alignment horizontal="right" vertical="top" wrapText="1"/>
    </xf>
    <xf numFmtId="176" fontId="23" fillId="5" borderId="45" xfId="0" applyNumberFormat="1" applyFont="1" applyFill="1" applyBorder="1" applyAlignment="1">
      <alignment horizontal="right" vertical="top"/>
    </xf>
    <xf numFmtId="176" fontId="23" fillId="5" borderId="46" xfId="0" applyNumberFormat="1" applyFont="1" applyFill="1" applyBorder="1" applyAlignment="1">
      <alignment horizontal="right" vertical="top"/>
    </xf>
    <xf numFmtId="0" fontId="21" fillId="5" borderId="39"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0" xfId="0" applyFont="1" applyFill="1" applyAlignment="1">
      <alignment horizontal="center" vertical="center" wrapText="1"/>
    </xf>
    <xf numFmtId="0" fontId="21" fillId="5" borderId="43" xfId="0" applyFont="1" applyFill="1" applyBorder="1" applyAlignment="1">
      <alignment horizontal="center" vertical="center" wrapText="1"/>
    </xf>
    <xf numFmtId="0" fontId="27" fillId="4" borderId="25" xfId="0" applyFont="1" applyFill="1" applyBorder="1" applyAlignment="1">
      <alignment horizontal="center" vertical="center" textRotation="255"/>
    </xf>
    <xf numFmtId="0" fontId="2" fillId="17" borderId="0" xfId="0" applyFont="1" applyFill="1">
      <alignment vertical="center"/>
    </xf>
    <xf numFmtId="0" fontId="0" fillId="17" borderId="0" xfId="0" applyFill="1">
      <alignment vertical="center"/>
    </xf>
    <xf numFmtId="0" fontId="2" fillId="12" borderId="0" xfId="0" applyFont="1" applyFill="1">
      <alignment vertical="center"/>
    </xf>
    <xf numFmtId="0" fontId="0" fillId="12" borderId="0" xfId="0" applyFill="1">
      <alignment vertical="center"/>
    </xf>
    <xf numFmtId="0" fontId="2" fillId="9" borderId="0" xfId="0" applyFont="1" applyFill="1">
      <alignment vertical="center"/>
    </xf>
    <xf numFmtId="0" fontId="0" fillId="9" borderId="0" xfId="0" applyFill="1">
      <alignment vertical="center"/>
    </xf>
    <xf numFmtId="0" fontId="2" fillId="10" borderId="0" xfId="0" applyFont="1" applyFill="1">
      <alignment vertical="center"/>
    </xf>
    <xf numFmtId="0" fontId="0" fillId="10" borderId="0" xfId="0" applyFill="1">
      <alignment vertical="center"/>
    </xf>
    <xf numFmtId="0" fontId="2" fillId="11" borderId="0" xfId="0" applyFont="1" applyFill="1">
      <alignment vertical="center"/>
    </xf>
    <xf numFmtId="0" fontId="0" fillId="11" borderId="0" xfId="0" applyFill="1">
      <alignment vertical="center"/>
    </xf>
    <xf numFmtId="0" fontId="30" fillId="0" borderId="26" xfId="0" applyFont="1" applyBorder="1" applyAlignment="1">
      <alignment horizontal="center" vertical="center" textRotation="255"/>
    </xf>
    <xf numFmtId="0" fontId="27" fillId="7" borderId="24" xfId="0" applyFont="1" applyFill="1" applyBorder="1" applyAlignment="1">
      <alignment horizontal="center" vertical="center" textRotation="255"/>
    </xf>
    <xf numFmtId="0" fontId="27" fillId="4" borderId="65" xfId="0" applyFont="1" applyFill="1" applyBorder="1" applyAlignment="1">
      <alignment horizontal="center" vertical="center" textRotation="255"/>
    </xf>
    <xf numFmtId="0" fontId="30" fillId="0" borderId="66" xfId="0" applyFont="1" applyBorder="1" applyAlignment="1">
      <alignment horizontal="center" vertical="center" textRotation="255"/>
    </xf>
    <xf numFmtId="0" fontId="27" fillId="7" borderId="65" xfId="0" applyFont="1" applyFill="1" applyBorder="1" applyAlignment="1">
      <alignment horizontal="center" vertical="center" textRotation="255"/>
    </xf>
    <xf numFmtId="0" fontId="30" fillId="0" borderId="66" xfId="0" applyFont="1" applyBorder="1" applyAlignment="1">
      <alignment vertical="center"/>
    </xf>
    <xf numFmtId="0" fontId="12" fillId="8" borderId="13"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8" borderId="17" xfId="0" applyFont="1" applyFill="1" applyBorder="1" applyAlignment="1">
      <alignment horizontal="center" vertical="center" wrapText="1"/>
    </xf>
    <xf numFmtId="0" fontId="7" fillId="5" borderId="0" xfId="0" applyFont="1" applyFill="1" applyAlignment="1">
      <alignment horizontal="center" vertical="center"/>
    </xf>
    <xf numFmtId="0" fontId="7" fillId="0" borderId="0" xfId="0" applyFont="1" applyAlignment="1">
      <alignment horizontal="center" vertical="center"/>
    </xf>
    <xf numFmtId="0" fontId="13" fillId="2" borderId="16" xfId="0" applyFont="1" applyFill="1" applyBorder="1" applyAlignment="1">
      <alignment horizontal="right" vertical="top"/>
    </xf>
    <xf numFmtId="0" fontId="13" fillId="2" borderId="0" xfId="0" applyFont="1" applyFill="1" applyAlignment="1">
      <alignment horizontal="right" vertical="top"/>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27" xfId="0" applyFont="1" applyFill="1" applyBorder="1" applyAlignment="1">
      <alignment horizontal="center" vertical="center" wrapText="1"/>
    </xf>
    <xf numFmtId="0" fontId="12" fillId="2" borderId="28" xfId="0" applyFont="1" applyFill="1" applyBorder="1" applyAlignment="1">
      <alignment horizontal="center" vertical="center" wrapText="1"/>
    </xf>
    <xf numFmtId="0" fontId="12" fillId="2" borderId="29" xfId="0" applyFont="1" applyFill="1" applyBorder="1" applyAlignment="1">
      <alignment horizontal="center" vertical="center" wrapText="1"/>
    </xf>
    <xf numFmtId="0" fontId="12" fillId="2" borderId="30" xfId="0" applyFont="1" applyFill="1" applyBorder="1" applyAlignment="1">
      <alignment horizontal="center" vertical="center" wrapText="1"/>
    </xf>
    <xf numFmtId="0" fontId="12" fillId="2" borderId="31" xfId="0" applyFont="1" applyFill="1" applyBorder="1" applyAlignment="1">
      <alignment horizontal="center" vertical="center" wrapText="1"/>
    </xf>
    <xf numFmtId="176" fontId="13" fillId="2" borderId="16" xfId="0" applyNumberFormat="1" applyFont="1" applyFill="1" applyBorder="1" applyAlignment="1">
      <alignment horizontal="right" vertical="top"/>
    </xf>
    <xf numFmtId="0" fontId="13" fillId="2" borderId="18" xfId="0" applyFont="1" applyFill="1" applyBorder="1" applyAlignment="1">
      <alignment horizontal="right" vertical="top"/>
    </xf>
    <xf numFmtId="0" fontId="13" fillId="2" borderId="19" xfId="0" applyFont="1" applyFill="1" applyBorder="1" applyAlignment="1">
      <alignment horizontal="right" vertical="top"/>
    </xf>
    <xf numFmtId="0" fontId="13" fillId="2" borderId="30" xfId="0" applyFont="1" applyFill="1" applyBorder="1" applyAlignment="1">
      <alignment horizontal="right" vertical="top"/>
    </xf>
    <xf numFmtId="176" fontId="13" fillId="2" borderId="30" xfId="0" applyNumberFormat="1" applyFont="1" applyFill="1" applyBorder="1" applyAlignment="1">
      <alignment horizontal="right" vertical="top"/>
    </xf>
    <xf numFmtId="0" fontId="13" fillId="2" borderId="32" xfId="0" applyFont="1" applyFill="1" applyBorder="1" applyAlignment="1">
      <alignment horizontal="right" vertical="top"/>
    </xf>
    <xf numFmtId="0" fontId="13" fillId="2" borderId="33" xfId="0" applyFont="1" applyFill="1" applyBorder="1" applyAlignment="1">
      <alignment horizontal="right" vertical="top"/>
    </xf>
    <xf numFmtId="0" fontId="12" fillId="2" borderId="53" xfId="0" applyFont="1" applyFill="1" applyBorder="1" applyAlignment="1">
      <alignment horizontal="center" vertical="center" wrapText="1"/>
    </xf>
    <xf numFmtId="0" fontId="12" fillId="2" borderId="54"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12" fillId="2" borderId="56"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8" borderId="27" xfId="0" applyFont="1" applyFill="1" applyBorder="1" applyAlignment="1">
      <alignment horizontal="center" vertical="center" wrapText="1"/>
    </xf>
    <xf numFmtId="0" fontId="12" fillId="8" borderId="28" xfId="0" applyFont="1" applyFill="1" applyBorder="1" applyAlignment="1">
      <alignment horizontal="center" vertical="center" wrapText="1"/>
    </xf>
    <xf numFmtId="0" fontId="12" fillId="8" borderId="29"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4" fillId="0" borderId="0" xfId="0" applyFont="1" applyAlignment="1">
      <alignment horizontal="right" vertical="top"/>
    </xf>
    <xf numFmtId="0" fontId="13" fillId="2" borderId="56" xfId="0" applyFont="1" applyFill="1" applyBorder="1" applyAlignment="1">
      <alignment horizontal="right" vertical="top"/>
    </xf>
    <xf numFmtId="176" fontId="13" fillId="2" borderId="0" xfId="0" applyNumberFormat="1" applyFont="1" applyFill="1" applyAlignment="1">
      <alignment horizontal="right" vertical="top"/>
    </xf>
    <xf numFmtId="176" fontId="13" fillId="2" borderId="56" xfId="0" applyNumberFormat="1" applyFont="1" applyFill="1" applyBorder="1" applyAlignment="1">
      <alignment horizontal="right" vertical="top"/>
    </xf>
    <xf numFmtId="0" fontId="12" fillId="8" borderId="47" xfId="0" applyFont="1" applyFill="1" applyBorder="1" applyAlignment="1">
      <alignment horizontal="center" vertical="center" wrapText="1"/>
    </xf>
    <xf numFmtId="0" fontId="12" fillId="8" borderId="48" xfId="0" applyFont="1" applyFill="1" applyBorder="1" applyAlignment="1">
      <alignment horizontal="center" vertical="center" wrapText="1"/>
    </xf>
    <xf numFmtId="0" fontId="12" fillId="8" borderId="49" xfId="0" applyFont="1" applyFill="1" applyBorder="1" applyAlignment="1">
      <alignment horizontal="center" vertical="center" wrapText="1"/>
    </xf>
    <xf numFmtId="0" fontId="12" fillId="8" borderId="50" xfId="0" applyFont="1" applyFill="1" applyBorder="1" applyAlignment="1">
      <alignment horizontal="center" vertical="center" wrapText="1"/>
    </xf>
    <xf numFmtId="0" fontId="12" fillId="8" borderId="34" xfId="0" applyFont="1" applyFill="1" applyBorder="1" applyAlignment="1">
      <alignment horizontal="center" vertical="center" wrapText="1"/>
    </xf>
    <xf numFmtId="0" fontId="13" fillId="2" borderId="50" xfId="0" applyFont="1" applyFill="1" applyBorder="1" applyAlignment="1">
      <alignment horizontal="right" vertical="top"/>
    </xf>
    <xf numFmtId="176" fontId="13" fillId="2" borderId="50" xfId="0" applyNumberFormat="1" applyFont="1" applyFill="1" applyBorder="1" applyAlignment="1">
      <alignment horizontal="right" vertical="top"/>
    </xf>
    <xf numFmtId="0" fontId="13" fillId="2" borderId="58" xfId="0" applyFont="1" applyFill="1" applyBorder="1" applyAlignment="1">
      <alignment horizontal="right" vertical="top"/>
    </xf>
    <xf numFmtId="0" fontId="13" fillId="2" borderId="59" xfId="0" applyFont="1" applyFill="1" applyBorder="1" applyAlignment="1">
      <alignment horizontal="right" vertical="top"/>
    </xf>
    <xf numFmtId="0" fontId="14" fillId="0" borderId="19" xfId="0" applyFont="1" applyBorder="1" applyAlignment="1">
      <alignment horizontal="right" vertical="top"/>
    </xf>
    <xf numFmtId="0" fontId="13" fillId="2" borderId="51" xfId="0" applyFont="1" applyFill="1" applyBorder="1" applyAlignment="1">
      <alignment horizontal="right" vertical="top"/>
    </xf>
    <xf numFmtId="0" fontId="13" fillId="2" borderId="35" xfId="0" applyFont="1" applyFill="1" applyBorder="1" applyAlignment="1">
      <alignment horizontal="right" vertical="top"/>
    </xf>
    <xf numFmtId="176" fontId="13" fillId="2" borderId="18" xfId="0" applyNumberFormat="1" applyFont="1" applyFill="1" applyBorder="1" applyAlignment="1">
      <alignment horizontal="right" vertical="top"/>
    </xf>
    <xf numFmtId="0" fontId="25" fillId="0" borderId="4" xfId="1" applyFont="1" applyBorder="1" applyAlignment="1">
      <alignment horizontal="center" vertical="center"/>
    </xf>
    <xf numFmtId="0" fontId="25" fillId="0" borderId="3" xfId="1" applyFont="1" applyBorder="1" applyAlignment="1">
      <alignment horizontal="center" vertical="center"/>
    </xf>
    <xf numFmtId="0" fontId="24" fillId="0" borderId="3" xfId="0" applyFont="1" applyBorder="1" applyAlignment="1">
      <alignment horizontal="center" vertical="center"/>
    </xf>
    <xf numFmtId="0" fontId="24" fillId="0" borderId="2" xfId="0" applyFont="1" applyBorder="1" applyAlignment="1">
      <alignment horizontal="center" vertical="center"/>
    </xf>
    <xf numFmtId="0" fontId="25" fillId="0" borderId="4" xfId="1" applyFont="1" applyBorder="1" applyAlignment="1">
      <alignment horizontal="center" vertical="center" wrapText="1"/>
    </xf>
    <xf numFmtId="0" fontId="25" fillId="0" borderId="3" xfId="1"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5" fillId="0" borderId="2" xfId="1" applyFont="1" applyBorder="1" applyAlignment="1">
      <alignment horizontal="center" vertical="center"/>
    </xf>
  </cellXfs>
  <cellStyles count="2">
    <cellStyle name="一般" xfId="0" builtinId="0"/>
    <cellStyle name="一般 2" xfId="1"/>
  </cellStyles>
  <dxfs count="105">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499984740745262"/>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499984740745262"/>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749961851863155"/>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499984740745262"/>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749961851863155"/>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499984740745262"/>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
      <font>
        <color theme="0"/>
      </font>
      <fill>
        <patternFill>
          <bgColor theme="6" tint="-0.499984740745262"/>
        </patternFill>
      </fill>
    </dxf>
    <dxf>
      <font>
        <color theme="0"/>
      </font>
      <fill>
        <patternFill>
          <bgColor theme="6" tint="-0.24994659260841701"/>
        </patternFill>
      </fill>
    </dxf>
    <dxf>
      <font>
        <color theme="2" tint="-0.749961851863155"/>
      </font>
      <fill>
        <patternFill>
          <bgColor theme="6" tint="0.39994506668294322"/>
        </patternFill>
      </fill>
    </dxf>
    <dxf>
      <font>
        <color theme="2" tint="-0.749961851863155"/>
      </font>
      <fill>
        <patternFill>
          <bgColor theme="6" tint="0.59996337778862885"/>
        </patternFill>
      </fill>
    </dxf>
    <dxf>
      <font>
        <color theme="2" tint="-0.499984740745262"/>
      </font>
      <fill>
        <patternFill>
          <bgColor theme="6" tint="0.79998168889431442"/>
        </patternFill>
      </fill>
    </dxf>
    <dxf>
      <font>
        <color theme="0"/>
      </font>
      <fill>
        <patternFill>
          <bgColor theme="8" tint="-0.499984740745262"/>
        </patternFill>
      </fill>
    </dxf>
    <dxf>
      <font>
        <color theme="0"/>
      </font>
      <fill>
        <patternFill>
          <bgColor theme="8" tint="-0.24994659260841701"/>
        </patternFill>
      </fill>
    </dxf>
    <dxf>
      <font>
        <color theme="2" tint="-0.749961851863155"/>
      </font>
      <fill>
        <patternFill>
          <bgColor theme="8" tint="0.39994506668294322"/>
        </patternFill>
      </fill>
    </dxf>
    <dxf>
      <font>
        <color theme="2" tint="-0.749961851863155"/>
      </font>
      <fill>
        <patternFill>
          <bgColor theme="8" tint="0.59996337778862885"/>
        </patternFill>
      </fill>
    </dxf>
    <dxf>
      <font>
        <color theme="2" tint="-0.749961851863155"/>
      </font>
      <fill>
        <patternFill>
          <bgColor theme="8" tint="0.79998168889431442"/>
        </patternFill>
      </fill>
    </dxf>
    <dxf>
      <font>
        <color theme="0"/>
      </font>
      <fill>
        <patternFill>
          <bgColor rgb="FF1D928F"/>
        </patternFill>
      </fill>
    </dxf>
    <dxf>
      <font>
        <color theme="0"/>
      </font>
      <fill>
        <patternFill>
          <bgColor rgb="FF28C8C8"/>
        </patternFill>
      </fill>
    </dxf>
    <dxf>
      <font>
        <color theme="2" tint="-0.749961851863155"/>
      </font>
      <fill>
        <patternFill>
          <bgColor rgb="FF8FE9E7"/>
        </patternFill>
      </fill>
    </dxf>
    <dxf>
      <font>
        <color theme="2" tint="-0.749961851863155"/>
      </font>
      <fill>
        <patternFill>
          <bgColor rgb="FFC3F4F3"/>
        </patternFill>
      </fill>
    </dxf>
    <dxf>
      <font>
        <color theme="2" tint="-0.749961851863155"/>
      </font>
      <fill>
        <patternFill>
          <bgColor rgb="FFEEFCFB"/>
        </patternFill>
      </fill>
    </dxf>
  </dxfs>
  <tableStyles count="0" defaultTableStyle="TableStyleMedium2" defaultPivotStyle="PivotStyleLight16"/>
  <colors>
    <mruColors>
      <color rgb="FFEEFCFB"/>
      <color rgb="FFC3F4F3"/>
      <color rgb="FF8FE9E7"/>
      <color rgb="FF28C8C8"/>
      <color rgb="FF1D928F"/>
      <color rgb="FFE2FAF9"/>
      <color rgb="FF009999"/>
      <color rgb="FFFF99CC"/>
      <color rgb="FF85E9E7"/>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圖表數據!$C$2</c:f>
              <c:strCache>
                <c:ptCount val="1"/>
                <c:pt idx="0">
                  <c:v>吳炎成</c:v>
                </c:pt>
              </c:strCache>
            </c:strRef>
          </c:tx>
          <c:spPr>
            <a:solidFill>
              <a:schemeClr val="accent1"/>
            </a:solidFill>
            <a:ln>
              <a:noFill/>
            </a:ln>
            <a:effectLst/>
          </c:spPr>
          <c:invertIfNegative val="0"/>
          <c:dLbls>
            <c:dLbl>
              <c:idx val="0"/>
              <c:layout/>
              <c:dLblPos val="ctr"/>
              <c:showLegendKey val="0"/>
              <c:showVal val="1"/>
              <c:showCatName val="0"/>
              <c:showSerName val="1"/>
              <c:showPercent val="0"/>
              <c:showBubbleSize val="0"/>
              <c:separator> </c:separator>
              <c:extLst xmlns:c16r2="http://schemas.microsoft.com/office/drawing/2015/06/chart">
                <c:ext xmlns:c16="http://schemas.microsoft.com/office/drawing/2014/chart" uri="{C3380CC4-5D6E-409C-BE32-E72D297353CC}">
                  <c16:uniqueId val="{00000000-4C79-4916-9680-D63D4345A005}"/>
                </c:ex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冬青黑體簡體中文 W6" panose="020B0600000000000000" pitchFamily="34" charset="-128"/>
                    <a:ea typeface="冬青黑體簡體中文 W6" panose="020B0600000000000000" pitchFamily="34" charset="-128"/>
                    <a:cs typeface="+mn-cs"/>
                  </a:defRPr>
                </a:pPr>
                <a:endParaRPr lang="zh-TW"/>
              </a:p>
            </c:txPr>
            <c:dLblPos val="ctr"/>
            <c:showLegendKey val="0"/>
            <c:showVal val="1"/>
            <c:showCatName val="0"/>
            <c:showSerName val="0"/>
            <c:showPercent val="0"/>
            <c:showBubbleSize val="0"/>
            <c:separator> </c:separator>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圖表數據!$B$3:$B$9</c15:sqref>
                  </c15:fullRef>
                </c:ext>
              </c:extLst>
              <c:f>圖表數據!$B$9</c:f>
              <c:strCache>
                <c:ptCount val="1"/>
                <c:pt idx="0">
                  <c:v>總計</c:v>
                </c:pt>
              </c:strCache>
            </c:strRef>
          </c:cat>
          <c:val>
            <c:numRef>
              <c:extLst>
                <c:ext xmlns:c15="http://schemas.microsoft.com/office/drawing/2012/chart" uri="{02D57815-91ED-43cb-92C2-25804820EDAC}">
                  <c15:fullRef>
                    <c15:sqref>圖表數據!$C$3:$C$9</c15:sqref>
                  </c15:fullRef>
                </c:ext>
              </c:extLst>
              <c:f>圖表數據!$C$9</c:f>
              <c:numCache>
                <c:formatCode>0_ ;[Red]\-0\ </c:formatCode>
                <c:ptCount val="1"/>
                <c:pt idx="0" formatCode="#,##0&quot;票&quot;_ ;[Red]\-#,##0\ ">
                  <c:v>418</c:v>
                </c:pt>
              </c:numCache>
            </c:numRef>
          </c:val>
          <c:extLst xmlns:c16r2="http://schemas.microsoft.com/office/drawing/2015/06/chart">
            <c:ext xmlns:c16="http://schemas.microsoft.com/office/drawing/2014/chart" uri="{C3380CC4-5D6E-409C-BE32-E72D297353CC}">
              <c16:uniqueId val="{00000001-4C79-4916-9680-D63D4345A005}"/>
            </c:ext>
          </c:extLst>
        </c:ser>
        <c:ser>
          <c:idx val="1"/>
          <c:order val="1"/>
          <c:tx>
            <c:strRef>
              <c:f>圖表數據!$D$2</c:f>
              <c:strCache>
                <c:ptCount val="1"/>
                <c:pt idx="0">
                  <c:v>李炷烽</c:v>
                </c:pt>
              </c:strCache>
            </c:strRef>
          </c:tx>
          <c:spPr>
            <a:solidFill>
              <a:srgbClr val="28C8C8"/>
            </a:solidFill>
            <a:ln>
              <a:noFill/>
            </a:ln>
            <a:effectLst/>
          </c:spPr>
          <c:invertIfNegative val="0"/>
          <c:dLbls>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冬青黑體簡體中文 W6" panose="020B0600000000000000" pitchFamily="34" charset="-128"/>
                      <a:ea typeface="冬青黑體簡體中文 W6" panose="020B0600000000000000" pitchFamily="34" charset="-128"/>
                      <a:cs typeface="+mn-cs"/>
                    </a:defRPr>
                  </a:pPr>
                  <a:endParaRPr lang="zh-TW"/>
                </a:p>
              </c:txPr>
              <c:dLblPos val="ctr"/>
              <c:showLegendKey val="0"/>
              <c:showVal val="1"/>
              <c:showCatName val="0"/>
              <c:showSerName val="1"/>
              <c:showPercent val="0"/>
              <c:showBubbleSize val="0"/>
              <c:separator> </c:separator>
              <c:extLst xmlns:c16r2="http://schemas.microsoft.com/office/drawing/2015/06/chart">
                <c:ext xmlns:c16="http://schemas.microsoft.com/office/drawing/2014/chart" uri="{C3380CC4-5D6E-409C-BE32-E72D297353CC}">
                  <c16:uniqueId val="{00000002-4C79-4916-9680-D63D4345A005}"/>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冬青黑體簡體中文 W3" panose="020B0300000000000000" pitchFamily="34" charset="-128"/>
                    <a:ea typeface="+mn-ea"/>
                    <a:cs typeface="+mn-cs"/>
                  </a:defRPr>
                </a:pPr>
                <a:endParaRPr lang="zh-TW"/>
              </a:p>
            </c:txPr>
            <c:dLblPos val="ctr"/>
            <c:showLegendKey val="0"/>
            <c:showVal val="1"/>
            <c:showCatName val="0"/>
            <c:showSerName val="0"/>
            <c:showPercent val="0"/>
            <c:showBubbleSize val="0"/>
            <c:separator> </c:separator>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圖表數據!$B$3:$B$9</c15:sqref>
                  </c15:fullRef>
                </c:ext>
              </c:extLst>
              <c:f>圖表數據!$B$9</c:f>
              <c:strCache>
                <c:ptCount val="1"/>
                <c:pt idx="0">
                  <c:v>總計</c:v>
                </c:pt>
              </c:strCache>
            </c:strRef>
          </c:cat>
          <c:val>
            <c:numRef>
              <c:extLst>
                <c:ext xmlns:c15="http://schemas.microsoft.com/office/drawing/2012/chart" uri="{02D57815-91ED-43cb-92C2-25804820EDAC}">
                  <c15:fullRef>
                    <c15:sqref>圖表數據!$D$3:$D$9</c15:sqref>
                  </c15:fullRef>
                </c:ext>
              </c:extLst>
              <c:f>圖表數據!$D$9</c:f>
              <c:numCache>
                <c:formatCode>0_ ;[Red]\-0\ </c:formatCode>
                <c:ptCount val="1"/>
                <c:pt idx="0" formatCode="#,##0&quot;票&quot;_ ;[Red]\-#,##0\ ">
                  <c:v>10289</c:v>
                </c:pt>
              </c:numCache>
            </c:numRef>
          </c:val>
          <c:extLst xmlns:c16r2="http://schemas.microsoft.com/office/drawing/2015/06/chart">
            <c:ext xmlns:c16="http://schemas.microsoft.com/office/drawing/2014/chart" uri="{C3380CC4-5D6E-409C-BE32-E72D297353CC}">
              <c16:uniqueId val="{00000003-4C79-4916-9680-D63D4345A005}"/>
            </c:ext>
          </c:extLst>
        </c:ser>
        <c:ser>
          <c:idx val="2"/>
          <c:order val="2"/>
          <c:tx>
            <c:strRef>
              <c:f>圖表數據!$G$2</c:f>
              <c:strCache>
                <c:ptCount val="1"/>
                <c:pt idx="0">
                  <c:v>翟美玉</c:v>
                </c:pt>
              </c:strCache>
            </c:strRef>
          </c:tx>
          <c:spPr>
            <a:solidFill>
              <a:schemeClr val="bg2">
                <a:lumMod val="50000"/>
              </a:schemeClr>
            </a:solidFill>
            <a:ln>
              <a:noFill/>
            </a:ln>
            <a:effectLst/>
          </c:spPr>
          <c:invertIfNegative val="0"/>
          <c:dLbls>
            <c:delete val="1"/>
          </c:dLbls>
          <c:cat>
            <c:strRef>
              <c:extLst>
                <c:ext xmlns:c15="http://schemas.microsoft.com/office/drawing/2012/chart" uri="{02D57815-91ED-43cb-92C2-25804820EDAC}">
                  <c15:fullRef>
                    <c15:sqref>圖表數據!$B$3:$B$9</c15:sqref>
                  </c15:fullRef>
                </c:ext>
              </c:extLst>
              <c:f>圖表數據!$B$9</c:f>
              <c:strCache>
                <c:ptCount val="1"/>
                <c:pt idx="0">
                  <c:v>總計</c:v>
                </c:pt>
              </c:strCache>
            </c:strRef>
          </c:cat>
          <c:val>
            <c:numRef>
              <c:extLst>
                <c:ext xmlns:c15="http://schemas.microsoft.com/office/drawing/2012/chart" uri="{02D57815-91ED-43cb-92C2-25804820EDAC}">
                  <c15:fullRef>
                    <c15:sqref>圖表數據!$G$3:$G$9</c15:sqref>
                  </c15:fullRef>
                </c:ext>
              </c:extLst>
              <c:f>圖表數據!$G$9</c:f>
              <c:numCache>
                <c:formatCode>0_ ;[Red]\-0\ </c:formatCode>
                <c:ptCount val="1"/>
                <c:pt idx="0" formatCode="#,##0&quot;票&quot;_ ;[Red]\-#,##0\ ">
                  <c:v>4596</c:v>
                </c:pt>
              </c:numCache>
            </c:numRef>
          </c:val>
          <c:extLst xmlns:c16r2="http://schemas.microsoft.com/office/drawing/2015/06/chart">
            <c:ext xmlns:c16="http://schemas.microsoft.com/office/drawing/2014/chart" uri="{C3380CC4-5D6E-409C-BE32-E72D297353CC}">
              <c16:uniqueId val="{00000004-4C79-4916-9680-D63D4345A005}"/>
            </c:ext>
          </c:extLst>
        </c:ser>
        <c:dLbls>
          <c:dLblPos val="ctr"/>
          <c:showLegendKey val="0"/>
          <c:showVal val="1"/>
          <c:showCatName val="0"/>
          <c:showSerName val="0"/>
          <c:showPercent val="0"/>
          <c:showBubbleSize val="0"/>
        </c:dLbls>
        <c:gapWidth val="0"/>
        <c:overlap val="100"/>
        <c:axId val="194674384"/>
        <c:axId val="121500128"/>
      </c:barChart>
      <c:catAx>
        <c:axId val="19467438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21500128"/>
        <c:crosses val="autoZero"/>
        <c:auto val="1"/>
        <c:lblAlgn val="ctr"/>
        <c:lblOffset val="100"/>
        <c:noMultiLvlLbl val="0"/>
      </c:catAx>
      <c:valAx>
        <c:axId val="121500128"/>
        <c:scaling>
          <c:orientation val="minMax"/>
        </c:scaling>
        <c:delete val="1"/>
        <c:axPos val="b"/>
        <c:numFmt formatCode="0%" sourceLinked="1"/>
        <c:majorTickMark val="none"/>
        <c:minorTickMark val="none"/>
        <c:tickLblPos val="nextTo"/>
        <c:crossAx val="194674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baseline="0">
          <a:latin typeface="冬青黑體簡體中文 W3" panose="020B0300000000000000" pitchFamily="34" charset="-128"/>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137160</xdr:colOff>
      <xdr:row>1</xdr:row>
      <xdr:rowOff>28574</xdr:rowOff>
    </xdr:from>
    <xdr:to>
      <xdr:col>60</xdr:col>
      <xdr:colOff>0</xdr:colOff>
      <xdr:row>3</xdr:row>
      <xdr:rowOff>195854</xdr:rowOff>
    </xdr:to>
    <xdr:graphicFrame macro="">
      <xdr:nvGraphicFramePr>
        <xdr:cNvPr id="6" name="圖表 5">
          <a:extLst>
            <a:ext uri="{FF2B5EF4-FFF2-40B4-BE49-F238E27FC236}">
              <a16:creationId xmlns:a16="http://schemas.microsoft.com/office/drawing/2014/main" xmlns=""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xdr:colOff>
      <xdr:row>5</xdr:row>
      <xdr:rowOff>15240</xdr:rowOff>
    </xdr:from>
    <xdr:to>
      <xdr:col>2</xdr:col>
      <xdr:colOff>187620</xdr:colOff>
      <xdr:row>5</xdr:row>
      <xdr:rowOff>195240</xdr:rowOff>
    </xdr:to>
    <xdr:pic>
      <xdr:nvPicPr>
        <xdr:cNvPr id="8" name="圖片 7">
          <a:extLst>
            <a:ext uri="{FF2B5EF4-FFF2-40B4-BE49-F238E27FC236}">
              <a16:creationId xmlns:a16="http://schemas.microsoft.com/office/drawing/2014/main" xmlns="" id="{877362E0-CCEF-4269-8D99-DCD60260348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900" y="1043940"/>
          <a:ext cx="180000" cy="180000"/>
        </a:xfrm>
        <a:prstGeom prst="rect">
          <a:avLst/>
        </a:prstGeom>
      </xdr:spPr>
    </xdr:pic>
    <xdr:clientData/>
  </xdr:twoCellAnchor>
  <xdr:twoCellAnchor editAs="oneCell">
    <xdr:from>
      <xdr:col>2</xdr:col>
      <xdr:colOff>7620</xdr:colOff>
      <xdr:row>9</xdr:row>
      <xdr:rowOff>15240</xdr:rowOff>
    </xdr:from>
    <xdr:to>
      <xdr:col>2</xdr:col>
      <xdr:colOff>187620</xdr:colOff>
      <xdr:row>9</xdr:row>
      <xdr:rowOff>195240</xdr:rowOff>
    </xdr:to>
    <xdr:pic>
      <xdr:nvPicPr>
        <xdr:cNvPr id="9" name="圖片 8">
          <a:extLst>
            <a:ext uri="{FF2B5EF4-FFF2-40B4-BE49-F238E27FC236}">
              <a16:creationId xmlns:a16="http://schemas.microsoft.com/office/drawing/2014/main" xmlns="" id="{1A1E5C9A-3CC5-4EB3-951F-253192A3D8B4}"/>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2900" y="1661160"/>
          <a:ext cx="180000" cy="180000"/>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U88"/>
  <sheetViews>
    <sheetView tabSelected="1" zoomScaleNormal="100" workbookViewId="0"/>
  </sheetViews>
  <sheetFormatPr defaultColWidth="0" defaultRowHeight="0" customHeight="1" zeroHeight="1"/>
  <cols>
    <col min="1" max="1" width="2.25" style="1" customWidth="1"/>
    <col min="2" max="60" width="2.75" style="1" customWidth="1"/>
    <col min="61" max="61" width="2.625" style="1" customWidth="1"/>
    <col min="62" max="16384" width="9" style="1" hidden="1"/>
  </cols>
  <sheetData>
    <row r="1" spans="1:60" ht="16.5" customHeight="1"/>
    <row r="2" spans="1:60" ht="16.149999999999999" customHeight="1">
      <c r="B2" s="16"/>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4"/>
    </row>
    <row r="3" spans="1:60" ht="16.149999999999999" customHeight="1">
      <c r="A3" s="4"/>
      <c r="B3" s="17"/>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15"/>
    </row>
    <row r="4" spans="1:60" ht="16.149999999999999" customHeight="1" thickBot="1">
      <c r="B4" s="17"/>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15"/>
    </row>
    <row r="5" spans="1:60" ht="16.149999999999999" customHeight="1" thickTop="1">
      <c r="B5" s="17"/>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62" t="str">
        <f>Z72</f>
        <v>官嶼里</v>
      </c>
      <c r="AY5" s="63"/>
      <c r="AZ5" s="63"/>
      <c r="BA5" s="63"/>
      <c r="BB5" s="64"/>
      <c r="BC5" s="3"/>
      <c r="BD5" s="3"/>
      <c r="BE5" s="3"/>
      <c r="BF5" s="3"/>
      <c r="BG5" s="3"/>
      <c r="BH5" s="15"/>
    </row>
    <row r="6" spans="1:60" ht="16.149999999999999" customHeight="1" thickBot="1">
      <c r="B6" s="17"/>
      <c r="C6" s="3"/>
      <c r="D6" s="5" t="s">
        <v>78</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65"/>
      <c r="AY6" s="66"/>
      <c r="AZ6" s="66"/>
      <c r="BA6" s="66"/>
      <c r="BB6" s="67"/>
      <c r="BC6" s="3"/>
      <c r="BD6" s="3"/>
      <c r="BE6" s="3"/>
      <c r="BF6" s="3"/>
      <c r="BG6" s="3"/>
      <c r="BH6" s="15"/>
    </row>
    <row r="7" spans="1:60" ht="16.149999999999999" customHeight="1" thickTop="1">
      <c r="B7" s="17"/>
      <c r="C7" s="60">
        <v>0.3</v>
      </c>
      <c r="D7" s="61"/>
      <c r="E7" s="61"/>
      <c r="F7" s="60">
        <v>0.4</v>
      </c>
      <c r="G7" s="61"/>
      <c r="H7" s="61"/>
      <c r="I7" s="60">
        <v>0.5</v>
      </c>
      <c r="J7" s="61"/>
      <c r="K7" s="61"/>
      <c r="L7" s="60">
        <v>0.6</v>
      </c>
      <c r="M7" s="61"/>
      <c r="N7" s="61"/>
      <c r="O7" s="60">
        <v>0.7</v>
      </c>
      <c r="P7" s="61"/>
      <c r="Q7" s="61"/>
      <c r="R7" s="3"/>
      <c r="S7" s="3"/>
      <c r="T7" s="62" t="str">
        <f>B42</f>
        <v>古寧村</v>
      </c>
      <c r="U7" s="63"/>
      <c r="V7" s="63"/>
      <c r="W7" s="63"/>
      <c r="X7" s="64"/>
      <c r="Y7" s="62" t="str">
        <f>B47</f>
        <v>安美村</v>
      </c>
      <c r="Z7" s="63"/>
      <c r="AA7" s="63"/>
      <c r="AB7" s="63"/>
      <c r="AC7" s="64"/>
      <c r="AD7" s="3"/>
      <c r="AE7" s="3"/>
      <c r="AF7" s="3"/>
      <c r="AG7" s="3"/>
      <c r="AH7" s="3"/>
      <c r="AI7" s="3"/>
      <c r="AJ7" s="3"/>
      <c r="AK7" s="3"/>
      <c r="AL7" s="3"/>
      <c r="AM7" s="3"/>
      <c r="AN7" s="3"/>
      <c r="AO7" s="3"/>
      <c r="AP7" s="3"/>
      <c r="AQ7" s="3"/>
      <c r="AR7" s="3"/>
      <c r="AS7" s="62" t="str">
        <f>Z67</f>
        <v>西園里</v>
      </c>
      <c r="AT7" s="63"/>
      <c r="AU7" s="63"/>
      <c r="AV7" s="63"/>
      <c r="AW7" s="64"/>
      <c r="AX7" s="68" t="str">
        <f>AA72</f>
        <v>①吳炎成</v>
      </c>
      <c r="AY7" s="69"/>
      <c r="AZ7" s="69"/>
      <c r="BA7" s="70">
        <f>AD72</f>
        <v>1</v>
      </c>
      <c r="BB7" s="71"/>
      <c r="BC7" s="62" t="str">
        <f>Z47</f>
        <v>三山里</v>
      </c>
      <c r="BD7" s="63"/>
      <c r="BE7" s="63"/>
      <c r="BF7" s="63"/>
      <c r="BG7" s="64"/>
      <c r="BH7" s="15"/>
    </row>
    <row r="8" spans="1:60" ht="16.149999999999999" customHeight="1">
      <c r="B8" s="17"/>
      <c r="C8" s="156"/>
      <c r="D8" s="157"/>
      <c r="E8" s="157"/>
      <c r="F8" s="80"/>
      <c r="G8" s="81"/>
      <c r="H8" s="81"/>
      <c r="I8" s="82"/>
      <c r="J8" s="83"/>
      <c r="K8" s="83"/>
      <c r="L8" s="84"/>
      <c r="M8" s="85"/>
      <c r="N8" s="85"/>
      <c r="O8" s="86"/>
      <c r="P8" s="87"/>
      <c r="Q8" s="87"/>
      <c r="R8" s="3"/>
      <c r="S8" s="3"/>
      <c r="T8" s="65"/>
      <c r="U8" s="66"/>
      <c r="V8" s="66"/>
      <c r="W8" s="66"/>
      <c r="X8" s="67"/>
      <c r="Y8" s="65"/>
      <c r="Z8" s="66"/>
      <c r="AA8" s="66"/>
      <c r="AB8" s="66"/>
      <c r="AC8" s="67"/>
      <c r="AD8" s="3"/>
      <c r="AE8" s="3"/>
      <c r="AF8" s="3"/>
      <c r="AG8" s="3"/>
      <c r="AH8" s="3"/>
      <c r="AI8" s="3"/>
      <c r="AJ8" s="3"/>
      <c r="AK8" s="3"/>
      <c r="AL8" s="3"/>
      <c r="AM8" s="3"/>
      <c r="AN8" s="3"/>
      <c r="AO8" s="3"/>
      <c r="AP8" s="3"/>
      <c r="AQ8" s="3"/>
      <c r="AR8" s="3"/>
      <c r="AS8" s="65"/>
      <c r="AT8" s="66"/>
      <c r="AU8" s="66"/>
      <c r="AV8" s="66"/>
      <c r="AW8" s="67"/>
      <c r="AX8" s="68" t="str">
        <f>AA73</f>
        <v>②李炷烽</v>
      </c>
      <c r="AY8" s="69"/>
      <c r="AZ8" s="69"/>
      <c r="BA8" s="72">
        <f>AD73</f>
        <v>73</v>
      </c>
      <c r="BB8" s="73"/>
      <c r="BC8" s="65"/>
      <c r="BD8" s="66"/>
      <c r="BE8" s="66"/>
      <c r="BF8" s="66"/>
      <c r="BG8" s="67"/>
      <c r="BH8" s="15"/>
    </row>
    <row r="9" spans="1:60" ht="16.149999999999999" customHeight="1" thickBot="1">
      <c r="B9" s="17"/>
      <c r="C9" s="3"/>
      <c r="D9" s="3"/>
      <c r="E9" s="3"/>
      <c r="F9" s="3"/>
      <c r="G9" s="3"/>
      <c r="H9" s="3"/>
      <c r="I9" s="3"/>
      <c r="J9" s="3"/>
      <c r="K9" s="3"/>
      <c r="L9" s="3"/>
      <c r="M9" s="3"/>
      <c r="N9" s="3"/>
      <c r="O9" s="3"/>
      <c r="P9" s="3"/>
      <c r="Q9" s="3"/>
      <c r="R9" s="3"/>
      <c r="S9" s="3"/>
      <c r="T9" s="68" t="str">
        <f>C42</f>
        <v>①吳炎成</v>
      </c>
      <c r="U9" s="69"/>
      <c r="V9" s="69"/>
      <c r="W9" s="70">
        <f>G42</f>
        <v>5</v>
      </c>
      <c r="X9" s="71"/>
      <c r="Y9" s="68" t="str">
        <f>C47</f>
        <v>①吳炎成</v>
      </c>
      <c r="Z9" s="69"/>
      <c r="AA9" s="69"/>
      <c r="AB9" s="70">
        <f>G47</f>
        <v>14</v>
      </c>
      <c r="AC9" s="71"/>
      <c r="AD9" s="3"/>
      <c r="AE9" s="3"/>
      <c r="AF9" s="3"/>
      <c r="AG9" s="3"/>
      <c r="AH9" s="3"/>
      <c r="AI9" s="3"/>
      <c r="AJ9" s="3"/>
      <c r="AK9" s="3"/>
      <c r="AL9" s="3"/>
      <c r="AM9" s="3"/>
      <c r="AN9" s="3"/>
      <c r="AO9" s="3"/>
      <c r="AP9" s="3"/>
      <c r="AQ9" s="3"/>
      <c r="AR9" s="3"/>
      <c r="AS9" s="68" t="str">
        <f>AA67</f>
        <v>①吳炎成</v>
      </c>
      <c r="AT9" s="69"/>
      <c r="AU9" s="69"/>
      <c r="AV9" s="70">
        <f>AD67</f>
        <v>8</v>
      </c>
      <c r="AW9" s="71"/>
      <c r="AX9" s="74" t="str">
        <f>AA74</f>
        <v>③黃積軍</v>
      </c>
      <c r="AY9" s="75"/>
      <c r="AZ9" s="75"/>
      <c r="BA9" s="76">
        <f>AD74</f>
        <v>2</v>
      </c>
      <c r="BB9" s="77"/>
      <c r="BC9" s="68" t="str">
        <f>AA47</f>
        <v>①吳炎成</v>
      </c>
      <c r="BD9" s="69"/>
      <c r="BE9" s="69"/>
      <c r="BF9" s="70">
        <f>AD47</f>
        <v>11</v>
      </c>
      <c r="BG9" s="71"/>
      <c r="BH9" s="15"/>
    </row>
    <row r="10" spans="1:60" ht="16.149999999999999" customHeight="1" thickTop="1">
      <c r="B10" s="17"/>
      <c r="C10" s="3"/>
      <c r="D10" s="5" t="s">
        <v>77</v>
      </c>
      <c r="E10" s="3"/>
      <c r="F10" s="3"/>
      <c r="G10" s="3"/>
      <c r="H10" s="3"/>
      <c r="I10" s="3"/>
      <c r="J10" s="3"/>
      <c r="K10" s="3"/>
      <c r="L10" s="3"/>
      <c r="M10" s="3"/>
      <c r="N10" s="3"/>
      <c r="O10" s="3"/>
      <c r="P10" s="3"/>
      <c r="Q10" s="3"/>
      <c r="R10" s="3"/>
      <c r="S10" s="3"/>
      <c r="T10" s="68" t="str">
        <f t="shared" ref="T10:T11" si="0">C43</f>
        <v>②李炷烽</v>
      </c>
      <c r="U10" s="69"/>
      <c r="V10" s="69"/>
      <c r="W10" s="72">
        <f t="shared" ref="W10:W11" si="1">G43</f>
        <v>485</v>
      </c>
      <c r="X10" s="73"/>
      <c r="Y10" s="68" t="str">
        <f t="shared" ref="Y10:Y11" si="2">C48</f>
        <v>②李炷烽</v>
      </c>
      <c r="Z10" s="69"/>
      <c r="AA10" s="69"/>
      <c r="AB10" s="72">
        <f t="shared" ref="AB10:AB11" si="3">G48</f>
        <v>321</v>
      </c>
      <c r="AC10" s="73"/>
      <c r="AD10" s="3"/>
      <c r="AE10" s="3"/>
      <c r="AF10" s="3"/>
      <c r="AG10" s="3"/>
      <c r="AH10" s="3"/>
      <c r="AI10" s="3"/>
      <c r="AJ10" s="3"/>
      <c r="AK10" s="3"/>
      <c r="AL10" s="3"/>
      <c r="AM10" s="3"/>
      <c r="AN10" s="62" t="str">
        <f>Z77</f>
        <v>浦山里</v>
      </c>
      <c r="AO10" s="63"/>
      <c r="AP10" s="63"/>
      <c r="AQ10" s="63"/>
      <c r="AR10" s="64"/>
      <c r="AS10" s="68" t="str">
        <f t="shared" ref="AS10:AS11" si="4">AA68</f>
        <v>②李炷烽</v>
      </c>
      <c r="AT10" s="69"/>
      <c r="AU10" s="69"/>
      <c r="AV10" s="72">
        <f t="shared" ref="AV10:AV11" si="5">AD68</f>
        <v>136</v>
      </c>
      <c r="AW10" s="73"/>
      <c r="AX10" s="62" t="str">
        <f>Z42</f>
        <v>汶沙里</v>
      </c>
      <c r="AY10" s="63"/>
      <c r="AZ10" s="63"/>
      <c r="BA10" s="63"/>
      <c r="BB10" s="64"/>
      <c r="BC10" s="68" t="str">
        <f t="shared" ref="BC10:BC11" si="6">AA48</f>
        <v>②李炷烽</v>
      </c>
      <c r="BD10" s="69"/>
      <c r="BE10" s="69"/>
      <c r="BF10" s="72">
        <f t="shared" ref="BF10:BF11" si="7">AD48</f>
        <v>216</v>
      </c>
      <c r="BG10" s="73"/>
      <c r="BH10" s="15"/>
    </row>
    <row r="11" spans="1:60" ht="16.149999999999999" customHeight="1" thickBot="1">
      <c r="B11" s="17"/>
      <c r="C11" s="60">
        <v>0.3</v>
      </c>
      <c r="D11" s="61"/>
      <c r="E11" s="61"/>
      <c r="F11" s="60">
        <v>0.4</v>
      </c>
      <c r="G11" s="61"/>
      <c r="H11" s="61"/>
      <c r="I11" s="60">
        <v>0.5</v>
      </c>
      <c r="J11" s="61"/>
      <c r="K11" s="61"/>
      <c r="L11" s="60">
        <v>0.6</v>
      </c>
      <c r="M11" s="61"/>
      <c r="N11" s="61"/>
      <c r="O11" s="60">
        <v>0.7</v>
      </c>
      <c r="P11" s="61"/>
      <c r="Q11" s="61"/>
      <c r="R11" s="3"/>
      <c r="S11" s="3"/>
      <c r="T11" s="74" t="str">
        <f t="shared" si="0"/>
        <v>③黃積軍</v>
      </c>
      <c r="U11" s="75"/>
      <c r="V11" s="75"/>
      <c r="W11" s="76">
        <f t="shared" si="1"/>
        <v>5</v>
      </c>
      <c r="X11" s="77"/>
      <c r="Y11" s="74" t="str">
        <f t="shared" si="2"/>
        <v>③黃積軍</v>
      </c>
      <c r="Z11" s="75"/>
      <c r="AA11" s="75"/>
      <c r="AB11" s="76">
        <f t="shared" si="3"/>
        <v>8</v>
      </c>
      <c r="AC11" s="77"/>
      <c r="AD11" s="3"/>
      <c r="AE11" s="3"/>
      <c r="AF11" s="3"/>
      <c r="AG11" s="3"/>
      <c r="AH11" s="3"/>
      <c r="AI11" s="3"/>
      <c r="AJ11" s="3"/>
      <c r="AK11" s="3"/>
      <c r="AL11" s="3"/>
      <c r="AM11" s="3"/>
      <c r="AN11" s="65"/>
      <c r="AO11" s="66"/>
      <c r="AP11" s="66"/>
      <c r="AQ11" s="66"/>
      <c r="AR11" s="67"/>
      <c r="AS11" s="74" t="str">
        <f t="shared" si="4"/>
        <v>③黃積軍</v>
      </c>
      <c r="AT11" s="75"/>
      <c r="AU11" s="75"/>
      <c r="AV11" s="76">
        <f t="shared" si="5"/>
        <v>9</v>
      </c>
      <c r="AW11" s="77"/>
      <c r="AX11" s="65"/>
      <c r="AY11" s="66"/>
      <c r="AZ11" s="66"/>
      <c r="BA11" s="66"/>
      <c r="BB11" s="67"/>
      <c r="BC11" s="74" t="str">
        <f t="shared" si="6"/>
        <v>③黃積軍</v>
      </c>
      <c r="BD11" s="75"/>
      <c r="BE11" s="75"/>
      <c r="BF11" s="76">
        <f t="shared" si="7"/>
        <v>6</v>
      </c>
      <c r="BG11" s="77"/>
      <c r="BH11" s="15"/>
    </row>
    <row r="12" spans="1:60" ht="16.149999999999999" customHeight="1" thickTop="1">
      <c r="B12" s="17"/>
      <c r="C12" s="78"/>
      <c r="D12" s="79"/>
      <c r="E12" s="79"/>
      <c r="F12" s="164"/>
      <c r="G12" s="165"/>
      <c r="H12" s="165"/>
      <c r="I12" s="162"/>
      <c r="J12" s="163"/>
      <c r="K12" s="163"/>
      <c r="L12" s="160"/>
      <c r="M12" s="161"/>
      <c r="N12" s="161"/>
      <c r="O12" s="158"/>
      <c r="P12" s="159"/>
      <c r="Q12" s="159"/>
      <c r="R12" s="3"/>
      <c r="S12" s="3"/>
      <c r="T12" s="3"/>
      <c r="U12" s="3"/>
      <c r="V12" s="3"/>
      <c r="W12" s="3"/>
      <c r="X12" s="3"/>
      <c r="Y12" s="62" t="str">
        <f>B57</f>
        <v>湖埔村</v>
      </c>
      <c r="Z12" s="63"/>
      <c r="AA12" s="63"/>
      <c r="AB12" s="63"/>
      <c r="AC12" s="64"/>
      <c r="AD12" s="62" t="str">
        <f>B52</f>
        <v>后盤村</v>
      </c>
      <c r="AE12" s="63"/>
      <c r="AF12" s="63"/>
      <c r="AG12" s="63"/>
      <c r="AH12" s="64"/>
      <c r="AI12" s="3"/>
      <c r="AJ12" s="3"/>
      <c r="AK12" s="3"/>
      <c r="AL12" s="3"/>
      <c r="AM12" s="3"/>
      <c r="AN12" s="68" t="str">
        <f>AA77</f>
        <v>①吳炎成</v>
      </c>
      <c r="AO12" s="69"/>
      <c r="AP12" s="69"/>
      <c r="AQ12" s="70">
        <f>AD77</f>
        <v>9</v>
      </c>
      <c r="AR12" s="71"/>
      <c r="AS12" s="62" t="str">
        <f>Z62</f>
        <v>何斗里</v>
      </c>
      <c r="AT12" s="63"/>
      <c r="AU12" s="63"/>
      <c r="AV12" s="63"/>
      <c r="AW12" s="64"/>
      <c r="AX12" s="68" t="str">
        <f>AA42</f>
        <v>①吳炎成</v>
      </c>
      <c r="AY12" s="69"/>
      <c r="AZ12" s="69"/>
      <c r="BA12" s="70">
        <f>AD42</f>
        <v>30</v>
      </c>
      <c r="BB12" s="71"/>
      <c r="BC12" s="62" t="str">
        <f>Z52</f>
        <v>大洋里</v>
      </c>
      <c r="BD12" s="63"/>
      <c r="BE12" s="63"/>
      <c r="BF12" s="63"/>
      <c r="BG12" s="64"/>
      <c r="BH12" s="15"/>
    </row>
    <row r="13" spans="1:60" ht="16.149999999999999" customHeight="1">
      <c r="B13" s="17"/>
      <c r="C13" s="3"/>
      <c r="D13" s="3"/>
      <c r="E13" s="3"/>
      <c r="F13" s="3"/>
      <c r="G13" s="3"/>
      <c r="H13" s="3"/>
      <c r="I13" s="3"/>
      <c r="J13" s="3"/>
      <c r="K13" s="3"/>
      <c r="L13" s="3"/>
      <c r="M13" s="3"/>
      <c r="N13" s="3"/>
      <c r="O13" s="3"/>
      <c r="P13" s="3"/>
      <c r="Q13" s="3"/>
      <c r="R13" s="3"/>
      <c r="S13" s="3"/>
      <c r="T13" s="3"/>
      <c r="U13" s="3"/>
      <c r="V13" s="3"/>
      <c r="W13" s="3"/>
      <c r="X13" s="3"/>
      <c r="Y13" s="65"/>
      <c r="Z13" s="66"/>
      <c r="AA13" s="66"/>
      <c r="AB13" s="66"/>
      <c r="AC13" s="67"/>
      <c r="AD13" s="65"/>
      <c r="AE13" s="66"/>
      <c r="AF13" s="66"/>
      <c r="AG13" s="66"/>
      <c r="AH13" s="67"/>
      <c r="AI13" s="3"/>
      <c r="AJ13" s="3"/>
      <c r="AK13" s="3"/>
      <c r="AL13" s="3"/>
      <c r="AM13" s="3"/>
      <c r="AN13" s="68" t="str">
        <f>AA78</f>
        <v>②李炷烽</v>
      </c>
      <c r="AO13" s="69"/>
      <c r="AP13" s="69"/>
      <c r="AQ13" s="72">
        <f>AD78</f>
        <v>243</v>
      </c>
      <c r="AR13" s="73"/>
      <c r="AS13" s="65"/>
      <c r="AT13" s="66"/>
      <c r="AU13" s="66"/>
      <c r="AV13" s="66"/>
      <c r="AW13" s="67"/>
      <c r="AX13" s="68" t="str">
        <f t="shared" ref="AX13:AX14" si="8">AA43</f>
        <v>②李炷烽</v>
      </c>
      <c r="AY13" s="69"/>
      <c r="AZ13" s="69"/>
      <c r="BA13" s="72">
        <f t="shared" ref="BA13:BA14" si="9">AD43</f>
        <v>558</v>
      </c>
      <c r="BB13" s="73"/>
      <c r="BC13" s="65"/>
      <c r="BD13" s="66"/>
      <c r="BE13" s="66"/>
      <c r="BF13" s="66"/>
      <c r="BG13" s="67"/>
      <c r="BH13" s="15"/>
    </row>
    <row r="14" spans="1:60" ht="16.149999999999999" customHeight="1" thickBot="1">
      <c r="B14" s="17"/>
      <c r="C14" s="3"/>
      <c r="D14" s="3"/>
      <c r="E14" s="3"/>
      <c r="F14" s="3"/>
      <c r="G14" s="3"/>
      <c r="H14" s="3"/>
      <c r="I14" s="3"/>
      <c r="J14" s="3"/>
      <c r="K14" s="3"/>
      <c r="L14" s="3"/>
      <c r="M14" s="3"/>
      <c r="N14" s="3"/>
      <c r="O14" s="3"/>
      <c r="P14" s="3"/>
      <c r="Q14" s="3"/>
      <c r="R14" s="3"/>
      <c r="S14" s="3"/>
      <c r="T14" s="3"/>
      <c r="U14" s="3"/>
      <c r="V14" s="3"/>
      <c r="W14" s="3"/>
      <c r="X14" s="3"/>
      <c r="Y14" s="68" t="str">
        <f>C57</f>
        <v>①吳炎成</v>
      </c>
      <c r="Z14" s="69"/>
      <c r="AA14" s="69"/>
      <c r="AB14" s="70">
        <f>F57</f>
        <v>0</v>
      </c>
      <c r="AC14" s="71"/>
      <c r="AD14" s="68" t="str">
        <f>C52</f>
        <v>①吳炎成</v>
      </c>
      <c r="AE14" s="69"/>
      <c r="AF14" s="69"/>
      <c r="AG14" s="70">
        <f>F52</f>
        <v>0</v>
      </c>
      <c r="AH14" s="71"/>
      <c r="AI14" s="3"/>
      <c r="AJ14" s="3"/>
      <c r="AK14" s="3"/>
      <c r="AL14" s="3"/>
      <c r="AM14" s="3"/>
      <c r="AN14" s="74" t="str">
        <f>AA79</f>
        <v>③黃積軍</v>
      </c>
      <c r="AO14" s="75"/>
      <c r="AP14" s="75"/>
      <c r="AQ14" s="76">
        <f>AD79</f>
        <v>5</v>
      </c>
      <c r="AR14" s="77"/>
      <c r="AS14" s="68" t="str">
        <f>AA62</f>
        <v>①吳炎成</v>
      </c>
      <c r="AT14" s="69"/>
      <c r="AU14" s="69"/>
      <c r="AV14" s="70">
        <f>AD62</f>
        <v>14</v>
      </c>
      <c r="AW14" s="71"/>
      <c r="AX14" s="74" t="str">
        <f t="shared" si="8"/>
        <v>③黃積軍</v>
      </c>
      <c r="AY14" s="75"/>
      <c r="AZ14" s="75"/>
      <c r="BA14" s="76">
        <f t="shared" si="9"/>
        <v>17</v>
      </c>
      <c r="BB14" s="77"/>
      <c r="BC14" s="68" t="str">
        <f>AA52</f>
        <v>①吳炎成</v>
      </c>
      <c r="BD14" s="69"/>
      <c r="BE14" s="69"/>
      <c r="BF14" s="70">
        <f>AD52</f>
        <v>12</v>
      </c>
      <c r="BG14" s="71"/>
      <c r="BH14" s="15"/>
    </row>
    <row r="15" spans="1:60" ht="16.149999999999999" customHeight="1" thickTop="1">
      <c r="B15" s="17"/>
      <c r="C15" s="3"/>
      <c r="D15" s="3"/>
      <c r="E15" s="3"/>
      <c r="F15" s="3"/>
      <c r="G15" s="3"/>
      <c r="H15" s="62" t="str">
        <f>AX52</f>
        <v>西口村</v>
      </c>
      <c r="I15" s="63"/>
      <c r="J15" s="63"/>
      <c r="K15" s="63"/>
      <c r="L15" s="64"/>
      <c r="M15" s="3"/>
      <c r="N15" s="3"/>
      <c r="O15" s="3"/>
      <c r="P15" s="3"/>
      <c r="Q15" s="3"/>
      <c r="R15" s="3"/>
      <c r="S15" s="3"/>
      <c r="T15" s="3"/>
      <c r="U15" s="3"/>
      <c r="V15" s="3"/>
      <c r="W15" s="3"/>
      <c r="X15" s="3"/>
      <c r="Y15" s="68" t="str">
        <f t="shared" ref="Y15:Y16" si="10">C58</f>
        <v>②李炷烽</v>
      </c>
      <c r="Z15" s="69"/>
      <c r="AA15" s="69"/>
      <c r="AB15" s="72">
        <f t="shared" ref="AB15:AB16" si="11">F58</f>
        <v>0</v>
      </c>
      <c r="AC15" s="73"/>
      <c r="AD15" s="68" t="str">
        <f t="shared" ref="AD15:AD16" si="12">C53</f>
        <v>②李炷烽</v>
      </c>
      <c r="AE15" s="69"/>
      <c r="AF15" s="69"/>
      <c r="AG15" s="70">
        <f t="shared" ref="AG15:AG16" si="13">F53</f>
        <v>0</v>
      </c>
      <c r="AH15" s="71"/>
      <c r="AI15" s="62" t="str">
        <f>B67</f>
        <v>盤山村</v>
      </c>
      <c r="AJ15" s="63"/>
      <c r="AK15" s="63"/>
      <c r="AL15" s="63"/>
      <c r="AM15" s="88"/>
      <c r="AN15" s="62" t="str">
        <f>AL62</f>
        <v>瓊林里</v>
      </c>
      <c r="AO15" s="63"/>
      <c r="AP15" s="63"/>
      <c r="AQ15" s="63"/>
      <c r="AR15" s="64"/>
      <c r="AS15" s="68" t="str">
        <f t="shared" ref="AS15:AS16" si="14">AA63</f>
        <v>②李炷烽</v>
      </c>
      <c r="AT15" s="69"/>
      <c r="AU15" s="69"/>
      <c r="AV15" s="72">
        <f t="shared" ref="AV15:AV16" si="15">AD63</f>
        <v>166</v>
      </c>
      <c r="AW15" s="73"/>
      <c r="AX15" s="62" t="str">
        <f>Z57</f>
        <v>光前里</v>
      </c>
      <c r="AY15" s="63"/>
      <c r="AZ15" s="63"/>
      <c r="BA15" s="63"/>
      <c r="BB15" s="64"/>
      <c r="BC15" s="68" t="str">
        <f t="shared" ref="BC15:BC16" si="16">AA53</f>
        <v>②李炷烽</v>
      </c>
      <c r="BD15" s="69"/>
      <c r="BE15" s="69"/>
      <c r="BF15" s="72">
        <f t="shared" ref="BF15:BF16" si="17">AD53</f>
        <v>120</v>
      </c>
      <c r="BG15" s="73"/>
      <c r="BH15" s="15"/>
    </row>
    <row r="16" spans="1:60" ht="16.149999999999999" customHeight="1" thickBot="1">
      <c r="B16" s="17"/>
      <c r="C16" s="3"/>
      <c r="D16" s="3"/>
      <c r="E16" s="3"/>
      <c r="F16" s="3"/>
      <c r="G16" s="3"/>
      <c r="H16" s="65"/>
      <c r="I16" s="66"/>
      <c r="J16" s="66"/>
      <c r="K16" s="66"/>
      <c r="L16" s="67"/>
      <c r="M16" s="3"/>
      <c r="N16" s="3"/>
      <c r="O16" s="3"/>
      <c r="P16" s="3"/>
      <c r="Q16" s="3"/>
      <c r="R16" s="3"/>
      <c r="S16" s="3"/>
      <c r="T16" s="3"/>
      <c r="U16" s="3"/>
      <c r="V16" s="3"/>
      <c r="W16" s="3"/>
      <c r="X16" s="3"/>
      <c r="Y16" s="74" t="str">
        <f t="shared" si="10"/>
        <v>③黃積軍</v>
      </c>
      <c r="Z16" s="75"/>
      <c r="AA16" s="75"/>
      <c r="AB16" s="76">
        <f t="shared" si="11"/>
        <v>0</v>
      </c>
      <c r="AC16" s="77"/>
      <c r="AD16" s="74" t="str">
        <f t="shared" si="12"/>
        <v>③黃積軍</v>
      </c>
      <c r="AE16" s="75"/>
      <c r="AF16" s="75"/>
      <c r="AG16" s="91">
        <f t="shared" si="13"/>
        <v>0</v>
      </c>
      <c r="AH16" s="92"/>
      <c r="AI16" s="65"/>
      <c r="AJ16" s="66"/>
      <c r="AK16" s="66"/>
      <c r="AL16" s="66"/>
      <c r="AM16" s="89"/>
      <c r="AN16" s="65"/>
      <c r="AO16" s="66"/>
      <c r="AP16" s="66"/>
      <c r="AQ16" s="66"/>
      <c r="AR16" s="67"/>
      <c r="AS16" s="74" t="str">
        <f t="shared" si="14"/>
        <v>③黃積軍</v>
      </c>
      <c r="AT16" s="75"/>
      <c r="AU16" s="75"/>
      <c r="AV16" s="76">
        <f t="shared" si="15"/>
        <v>6</v>
      </c>
      <c r="AW16" s="77"/>
      <c r="AX16" s="65"/>
      <c r="AY16" s="66"/>
      <c r="AZ16" s="66"/>
      <c r="BA16" s="66"/>
      <c r="BB16" s="67"/>
      <c r="BC16" s="74" t="str">
        <f t="shared" si="16"/>
        <v>③黃積軍</v>
      </c>
      <c r="BD16" s="75"/>
      <c r="BE16" s="75"/>
      <c r="BF16" s="76">
        <f t="shared" si="17"/>
        <v>2</v>
      </c>
      <c r="BG16" s="77"/>
      <c r="BH16" s="15"/>
    </row>
    <row r="17" spans="2:60" ht="16.149999999999999" customHeight="1" thickTop="1">
      <c r="B17" s="17"/>
      <c r="C17" s="62" t="str">
        <f>AX47</f>
        <v>上林村</v>
      </c>
      <c r="D17" s="63"/>
      <c r="E17" s="63"/>
      <c r="F17" s="63"/>
      <c r="G17" s="64"/>
      <c r="H17" s="68" t="str">
        <f>AY52</f>
        <v>①吳炎成</v>
      </c>
      <c r="I17" s="69"/>
      <c r="J17" s="69"/>
      <c r="K17" s="70">
        <f>BB52</f>
        <v>3</v>
      </c>
      <c r="L17" s="71"/>
      <c r="M17" s="62" t="str">
        <f>AX62</f>
        <v>黃埔村</v>
      </c>
      <c r="N17" s="63"/>
      <c r="O17" s="63"/>
      <c r="P17" s="63"/>
      <c r="Q17" s="64"/>
      <c r="R17" s="3"/>
      <c r="S17" s="3"/>
      <c r="T17" s="3"/>
      <c r="U17" s="3"/>
      <c r="V17" s="3"/>
      <c r="W17" s="3"/>
      <c r="X17" s="3"/>
      <c r="Y17" s="62" t="str">
        <f>N47</f>
        <v>西門里</v>
      </c>
      <c r="Z17" s="63"/>
      <c r="AA17" s="63"/>
      <c r="AB17" s="63"/>
      <c r="AC17" s="64"/>
      <c r="AD17" s="62" t="str">
        <f>N57</f>
        <v>北門里</v>
      </c>
      <c r="AE17" s="63"/>
      <c r="AF17" s="63"/>
      <c r="AG17" s="63"/>
      <c r="AH17" s="64"/>
      <c r="AI17" s="68" t="str">
        <f>C67</f>
        <v>①吳炎成</v>
      </c>
      <c r="AJ17" s="69"/>
      <c r="AK17" s="69"/>
      <c r="AL17" s="70">
        <f>F67</f>
        <v>0</v>
      </c>
      <c r="AM17" s="71"/>
      <c r="AN17" s="68" t="str">
        <f>AM62</f>
        <v>①吳炎成</v>
      </c>
      <c r="AO17" s="69"/>
      <c r="AP17" s="69"/>
      <c r="AQ17" s="70">
        <f>AP62</f>
        <v>19</v>
      </c>
      <c r="AR17" s="71"/>
      <c r="AS17" s="62" t="str">
        <f>AL47</f>
        <v>山外里</v>
      </c>
      <c r="AT17" s="63"/>
      <c r="AU17" s="63"/>
      <c r="AV17" s="63"/>
      <c r="AW17" s="64"/>
      <c r="AX17" s="68" t="str">
        <f>AA57</f>
        <v>①吳炎成</v>
      </c>
      <c r="AY17" s="69"/>
      <c r="AZ17" s="69"/>
      <c r="BA17" s="70">
        <f>AD57</f>
        <v>8</v>
      </c>
      <c r="BB17" s="71"/>
      <c r="BC17" s="62" t="str">
        <f>AL72</f>
        <v>溪湖里</v>
      </c>
      <c r="BD17" s="63"/>
      <c r="BE17" s="63"/>
      <c r="BF17" s="63"/>
      <c r="BG17" s="64"/>
      <c r="BH17" s="15"/>
    </row>
    <row r="18" spans="2:60" ht="16.149999999999999" customHeight="1">
      <c r="B18" s="17"/>
      <c r="C18" s="65"/>
      <c r="D18" s="66"/>
      <c r="E18" s="66"/>
      <c r="F18" s="66"/>
      <c r="G18" s="67"/>
      <c r="H18" s="68" t="str">
        <f t="shared" ref="H18:H19" si="18">AY53</f>
        <v>②李炷烽</v>
      </c>
      <c r="I18" s="69"/>
      <c r="J18" s="69"/>
      <c r="K18" s="72">
        <f t="shared" ref="K18:K19" si="19">BB53</f>
        <v>127</v>
      </c>
      <c r="L18" s="73"/>
      <c r="M18" s="65"/>
      <c r="N18" s="66"/>
      <c r="O18" s="66"/>
      <c r="P18" s="66"/>
      <c r="Q18" s="67"/>
      <c r="R18" s="3"/>
      <c r="S18" s="3"/>
      <c r="T18" s="3"/>
      <c r="U18" s="3"/>
      <c r="V18" s="3"/>
      <c r="W18" s="3"/>
      <c r="X18" s="3"/>
      <c r="Y18" s="65"/>
      <c r="Z18" s="66"/>
      <c r="AA18" s="66"/>
      <c r="AB18" s="66"/>
      <c r="AC18" s="67"/>
      <c r="AD18" s="65"/>
      <c r="AE18" s="66"/>
      <c r="AF18" s="66"/>
      <c r="AG18" s="66"/>
      <c r="AH18" s="67"/>
      <c r="AI18" s="68" t="str">
        <f t="shared" ref="AI18:AI19" si="20">C68</f>
        <v>②李炷烽</v>
      </c>
      <c r="AJ18" s="69"/>
      <c r="AK18" s="69"/>
      <c r="AL18" s="72">
        <f t="shared" ref="AL18:AL19" si="21">F68</f>
        <v>0</v>
      </c>
      <c r="AM18" s="73"/>
      <c r="AN18" s="68" t="str">
        <f t="shared" ref="AN18:AN19" si="22">AM63</f>
        <v>②李炷烽</v>
      </c>
      <c r="AO18" s="69"/>
      <c r="AP18" s="69"/>
      <c r="AQ18" s="72">
        <f t="shared" ref="AQ18:AQ19" si="23">AP63</f>
        <v>321</v>
      </c>
      <c r="AR18" s="73"/>
      <c r="AS18" s="65"/>
      <c r="AT18" s="66"/>
      <c r="AU18" s="66"/>
      <c r="AV18" s="66"/>
      <c r="AW18" s="67"/>
      <c r="AX18" s="68" t="str">
        <f t="shared" ref="AX18:AX19" si="24">AA58</f>
        <v>②李炷烽</v>
      </c>
      <c r="AY18" s="69"/>
      <c r="AZ18" s="69"/>
      <c r="BA18" s="72">
        <f t="shared" ref="BA18:BA19" si="25">AD58</f>
        <v>199</v>
      </c>
      <c r="BB18" s="73"/>
      <c r="BC18" s="65"/>
      <c r="BD18" s="66"/>
      <c r="BE18" s="66"/>
      <c r="BF18" s="66"/>
      <c r="BG18" s="67"/>
      <c r="BH18" s="15"/>
    </row>
    <row r="19" spans="2:60" ht="16.149999999999999" customHeight="1" thickBot="1">
      <c r="B19" s="17"/>
      <c r="C19" s="68" t="str">
        <f>AY47</f>
        <v>①吳炎成</v>
      </c>
      <c r="D19" s="69"/>
      <c r="E19" s="69"/>
      <c r="F19" s="70">
        <f>BB47</f>
        <v>1</v>
      </c>
      <c r="G19" s="71"/>
      <c r="H19" s="74" t="str">
        <f t="shared" si="18"/>
        <v>③黃積軍</v>
      </c>
      <c r="I19" s="75"/>
      <c r="J19" s="75"/>
      <c r="K19" s="76">
        <f t="shared" si="19"/>
        <v>2</v>
      </c>
      <c r="L19" s="77"/>
      <c r="M19" s="68" t="str">
        <f>AY62</f>
        <v>①吳炎成</v>
      </c>
      <c r="N19" s="69"/>
      <c r="O19" s="69"/>
      <c r="P19" s="70">
        <f>BB62</f>
        <v>6</v>
      </c>
      <c r="Q19" s="71"/>
      <c r="R19" s="3"/>
      <c r="S19" s="3"/>
      <c r="T19" s="3"/>
      <c r="U19" s="3"/>
      <c r="V19" s="3"/>
      <c r="W19" s="3"/>
      <c r="X19" s="3"/>
      <c r="Y19" s="68" t="str">
        <f>O47</f>
        <v>①吳炎成</v>
      </c>
      <c r="Z19" s="69"/>
      <c r="AA19" s="69"/>
      <c r="AB19" s="70">
        <f>R47</f>
        <v>24</v>
      </c>
      <c r="AC19" s="71"/>
      <c r="AD19" s="68" t="str">
        <f>O57</f>
        <v>①吳炎成</v>
      </c>
      <c r="AE19" s="69"/>
      <c r="AF19" s="69"/>
      <c r="AG19" s="70">
        <f>R57</f>
        <v>12</v>
      </c>
      <c r="AH19" s="71"/>
      <c r="AI19" s="74" t="str">
        <f t="shared" si="20"/>
        <v>③黃積軍</v>
      </c>
      <c r="AJ19" s="75"/>
      <c r="AK19" s="75"/>
      <c r="AL19" s="76">
        <f t="shared" si="21"/>
        <v>0</v>
      </c>
      <c r="AM19" s="77"/>
      <c r="AN19" s="74" t="str">
        <f t="shared" si="22"/>
        <v>③黃積軍</v>
      </c>
      <c r="AO19" s="75"/>
      <c r="AP19" s="75"/>
      <c r="AQ19" s="76">
        <f t="shared" si="23"/>
        <v>8</v>
      </c>
      <c r="AR19" s="77"/>
      <c r="AS19" s="68" t="str">
        <f>AM47</f>
        <v>①吳炎成</v>
      </c>
      <c r="AT19" s="69"/>
      <c r="AU19" s="69"/>
      <c r="AV19" s="70">
        <f>AP47</f>
        <v>24</v>
      </c>
      <c r="AW19" s="71"/>
      <c r="AX19" s="74" t="str">
        <f t="shared" si="24"/>
        <v>③黃積軍</v>
      </c>
      <c r="AY19" s="75"/>
      <c r="AZ19" s="75"/>
      <c r="BA19" s="76">
        <f t="shared" si="25"/>
        <v>13</v>
      </c>
      <c r="BB19" s="77"/>
      <c r="BC19" s="68" t="str">
        <f>AM72</f>
        <v>①吳炎成</v>
      </c>
      <c r="BD19" s="69"/>
      <c r="BE19" s="69"/>
      <c r="BF19" s="70">
        <f>AP72</f>
        <v>15</v>
      </c>
      <c r="BG19" s="71"/>
      <c r="BH19" s="15"/>
    </row>
    <row r="20" spans="2:60" ht="16.149999999999999" customHeight="1" thickTop="1">
      <c r="B20" s="17"/>
      <c r="C20" s="68" t="str">
        <f t="shared" ref="C20:C21" si="26">AY48</f>
        <v>②李炷烽</v>
      </c>
      <c r="D20" s="69"/>
      <c r="E20" s="69"/>
      <c r="F20" s="72">
        <f t="shared" ref="F20:F21" si="27">BB48</f>
        <v>141</v>
      </c>
      <c r="G20" s="73"/>
      <c r="H20" s="62" t="str">
        <f>AX57</f>
        <v>林湖村</v>
      </c>
      <c r="I20" s="63"/>
      <c r="J20" s="63"/>
      <c r="K20" s="63"/>
      <c r="L20" s="64"/>
      <c r="M20" s="68" t="str">
        <f t="shared" ref="M20:M21" si="28">AY63</f>
        <v>②李炷烽</v>
      </c>
      <c r="N20" s="69"/>
      <c r="O20" s="69"/>
      <c r="P20" s="72">
        <f t="shared" ref="P20:P21" si="29">BB63</f>
        <v>113</v>
      </c>
      <c r="Q20" s="73"/>
      <c r="R20" s="3"/>
      <c r="S20" s="3"/>
      <c r="T20" s="3"/>
      <c r="U20" s="3"/>
      <c r="V20" s="3"/>
      <c r="W20" s="3"/>
      <c r="X20" s="3"/>
      <c r="Y20" s="68" t="str">
        <f t="shared" ref="Y20:Y21" si="30">O48</f>
        <v>②李炷烽</v>
      </c>
      <c r="Z20" s="69"/>
      <c r="AA20" s="69"/>
      <c r="AB20" s="72">
        <f t="shared" ref="AB20:AB21" si="31">R48</f>
        <v>895</v>
      </c>
      <c r="AC20" s="73"/>
      <c r="AD20" s="68" t="str">
        <f t="shared" ref="AD20:AD21" si="32">O58</f>
        <v>②李炷烽</v>
      </c>
      <c r="AE20" s="69"/>
      <c r="AF20" s="69"/>
      <c r="AG20" s="72">
        <f t="shared" ref="AG20:AG21" si="33">R58</f>
        <v>463</v>
      </c>
      <c r="AH20" s="73"/>
      <c r="AI20" s="62" t="str">
        <f>B62</f>
        <v>榜林村</v>
      </c>
      <c r="AJ20" s="63"/>
      <c r="AK20" s="63"/>
      <c r="AL20" s="63"/>
      <c r="AM20" s="88"/>
      <c r="AN20" s="62" t="str">
        <f>AL52</f>
        <v>正義里</v>
      </c>
      <c r="AO20" s="63"/>
      <c r="AP20" s="63"/>
      <c r="AQ20" s="63"/>
      <c r="AR20" s="64"/>
      <c r="AS20" s="68" t="str">
        <f t="shared" ref="AS20:AS21" si="34">AM48</f>
        <v>②李炷烽</v>
      </c>
      <c r="AT20" s="69"/>
      <c r="AU20" s="69"/>
      <c r="AV20" s="72">
        <f t="shared" ref="AV20:AV21" si="35">AP48</f>
        <v>381</v>
      </c>
      <c r="AW20" s="73"/>
      <c r="AX20" s="62" t="str">
        <f>AL42</f>
        <v>新市里</v>
      </c>
      <c r="AY20" s="63"/>
      <c r="AZ20" s="63"/>
      <c r="BA20" s="63"/>
      <c r="BB20" s="64"/>
      <c r="BC20" s="68" t="str">
        <f>AM73</f>
        <v>②李炷烽</v>
      </c>
      <c r="BD20" s="69"/>
      <c r="BE20" s="69"/>
      <c r="BF20" s="72">
        <f>AP73</f>
        <v>157</v>
      </c>
      <c r="BG20" s="73"/>
      <c r="BH20" s="15"/>
    </row>
    <row r="21" spans="2:60" ht="16.149999999999999" customHeight="1" thickBot="1">
      <c r="B21" s="17"/>
      <c r="C21" s="74" t="str">
        <f t="shared" si="26"/>
        <v>③黃積軍</v>
      </c>
      <c r="D21" s="75"/>
      <c r="E21" s="75"/>
      <c r="F21" s="76">
        <f t="shared" si="27"/>
        <v>2</v>
      </c>
      <c r="G21" s="77"/>
      <c r="H21" s="65"/>
      <c r="I21" s="66"/>
      <c r="J21" s="66"/>
      <c r="K21" s="66"/>
      <c r="L21" s="67"/>
      <c r="M21" s="74" t="str">
        <f t="shared" si="28"/>
        <v>③黃積軍</v>
      </c>
      <c r="N21" s="75"/>
      <c r="O21" s="75"/>
      <c r="P21" s="76">
        <f t="shared" si="29"/>
        <v>6</v>
      </c>
      <c r="Q21" s="77"/>
      <c r="R21" s="3"/>
      <c r="S21" s="3"/>
      <c r="T21" s="3"/>
      <c r="U21" s="3"/>
      <c r="V21" s="3"/>
      <c r="W21" s="3"/>
      <c r="X21" s="3"/>
      <c r="Y21" s="74" t="str">
        <f t="shared" si="30"/>
        <v>③黃積軍</v>
      </c>
      <c r="Z21" s="75"/>
      <c r="AA21" s="75"/>
      <c r="AB21" s="76">
        <f t="shared" si="31"/>
        <v>19</v>
      </c>
      <c r="AC21" s="77"/>
      <c r="AD21" s="74" t="str">
        <f t="shared" si="32"/>
        <v>③黃積軍</v>
      </c>
      <c r="AE21" s="75"/>
      <c r="AF21" s="75"/>
      <c r="AG21" s="76">
        <f t="shared" si="33"/>
        <v>15</v>
      </c>
      <c r="AH21" s="77"/>
      <c r="AI21" s="65"/>
      <c r="AJ21" s="66"/>
      <c r="AK21" s="66"/>
      <c r="AL21" s="66"/>
      <c r="AM21" s="89"/>
      <c r="AN21" s="65"/>
      <c r="AO21" s="66"/>
      <c r="AP21" s="66"/>
      <c r="AQ21" s="66"/>
      <c r="AR21" s="67"/>
      <c r="AS21" s="74" t="str">
        <f t="shared" si="34"/>
        <v>③黃積軍</v>
      </c>
      <c r="AT21" s="75"/>
      <c r="AU21" s="75"/>
      <c r="AV21" s="76">
        <f t="shared" si="35"/>
        <v>7</v>
      </c>
      <c r="AW21" s="77"/>
      <c r="AX21" s="65"/>
      <c r="AY21" s="66"/>
      <c r="AZ21" s="66"/>
      <c r="BA21" s="66"/>
      <c r="BB21" s="67"/>
      <c r="BC21" s="74" t="str">
        <f>AM74</f>
        <v>③黃積軍</v>
      </c>
      <c r="BD21" s="75"/>
      <c r="BE21" s="75"/>
      <c r="BF21" s="76">
        <f>AP74</f>
        <v>5</v>
      </c>
      <c r="BG21" s="77"/>
      <c r="BH21" s="15"/>
    </row>
    <row r="22" spans="2:60" ht="16.149999999999999" customHeight="1" thickTop="1">
      <c r="B22" s="17"/>
      <c r="C22" s="62" t="str">
        <f>AX42</f>
        <v>上岐村</v>
      </c>
      <c r="D22" s="63"/>
      <c r="E22" s="63"/>
      <c r="F22" s="63"/>
      <c r="G22" s="64"/>
      <c r="H22" s="68" t="str">
        <f>AY57</f>
        <v>①吳炎成</v>
      </c>
      <c r="I22" s="69"/>
      <c r="J22" s="69"/>
      <c r="K22" s="70">
        <f>BB57</f>
        <v>8</v>
      </c>
      <c r="L22" s="71"/>
      <c r="M22" s="3"/>
      <c r="N22" s="3"/>
      <c r="O22" s="3"/>
      <c r="P22" s="3"/>
      <c r="Q22" s="3"/>
      <c r="R22" s="3"/>
      <c r="S22" s="3"/>
      <c r="T22" s="3"/>
      <c r="U22" s="3"/>
      <c r="V22" s="3"/>
      <c r="W22" s="3"/>
      <c r="X22" s="3"/>
      <c r="Y22" s="62" t="str">
        <f>N52</f>
        <v>南門里</v>
      </c>
      <c r="Z22" s="63"/>
      <c r="AA22" s="63"/>
      <c r="AB22" s="63"/>
      <c r="AC22" s="64"/>
      <c r="AD22" s="62" t="str">
        <f>N42</f>
        <v>東門里</v>
      </c>
      <c r="AE22" s="63"/>
      <c r="AF22" s="63"/>
      <c r="AG22" s="63"/>
      <c r="AH22" s="64"/>
      <c r="AI22" s="68" t="str">
        <f>C62</f>
        <v>①吳炎成</v>
      </c>
      <c r="AJ22" s="69"/>
      <c r="AK22" s="69"/>
      <c r="AL22" s="70">
        <f>F62</f>
        <v>0</v>
      </c>
      <c r="AM22" s="93"/>
      <c r="AN22" s="68" t="str">
        <f>AM52</f>
        <v>①吳炎成</v>
      </c>
      <c r="AO22" s="69"/>
      <c r="AP22" s="69"/>
      <c r="AQ22" s="70">
        <f>AP52</f>
        <v>15</v>
      </c>
      <c r="AR22" s="71"/>
      <c r="AS22" s="62" t="str">
        <f>AL67</f>
        <v>新湖里</v>
      </c>
      <c r="AT22" s="63"/>
      <c r="AU22" s="63"/>
      <c r="AV22" s="63"/>
      <c r="AW22" s="64"/>
      <c r="AX22" s="68" t="str">
        <f>AM42</f>
        <v>①吳炎成</v>
      </c>
      <c r="AY22" s="69"/>
      <c r="AZ22" s="69"/>
      <c r="BA22" s="70">
        <f>AP42</f>
        <v>22</v>
      </c>
      <c r="BB22" s="71"/>
      <c r="BC22" s="62" t="str">
        <f>AL77</f>
        <v>蓮庵里</v>
      </c>
      <c r="BD22" s="63"/>
      <c r="BE22" s="63"/>
      <c r="BF22" s="63"/>
      <c r="BG22" s="64"/>
      <c r="BH22" s="15"/>
    </row>
    <row r="23" spans="2:60" ht="16.149999999999999" customHeight="1">
      <c r="B23" s="17"/>
      <c r="C23" s="65"/>
      <c r="D23" s="66"/>
      <c r="E23" s="66"/>
      <c r="F23" s="66"/>
      <c r="G23" s="67"/>
      <c r="H23" s="68" t="str">
        <f t="shared" ref="H23:H24" si="36">AY58</f>
        <v>②李炷烽</v>
      </c>
      <c r="I23" s="69"/>
      <c r="J23" s="69"/>
      <c r="K23" s="72">
        <f t="shared" ref="K23:K24" si="37">BB58</f>
        <v>344</v>
      </c>
      <c r="L23" s="73"/>
      <c r="M23" s="3"/>
      <c r="N23" s="3"/>
      <c r="O23" s="3"/>
      <c r="P23" s="3"/>
      <c r="Q23" s="3"/>
      <c r="R23" s="3"/>
      <c r="S23" s="3"/>
      <c r="T23" s="3"/>
      <c r="U23" s="3"/>
      <c r="V23" s="3"/>
      <c r="W23" s="3"/>
      <c r="X23" s="3"/>
      <c r="Y23" s="65"/>
      <c r="Z23" s="66"/>
      <c r="AA23" s="66"/>
      <c r="AB23" s="66"/>
      <c r="AC23" s="67"/>
      <c r="AD23" s="65"/>
      <c r="AE23" s="66"/>
      <c r="AF23" s="66"/>
      <c r="AG23" s="66"/>
      <c r="AH23" s="67"/>
      <c r="AI23" s="68" t="str">
        <f t="shared" ref="AI23:AI24" si="38">C63</f>
        <v>②李炷烽</v>
      </c>
      <c r="AJ23" s="69"/>
      <c r="AK23" s="69"/>
      <c r="AL23" s="72">
        <f t="shared" ref="AL23:AL24" si="39">F63</f>
        <v>0</v>
      </c>
      <c r="AM23" s="136"/>
      <c r="AN23" s="68" t="str">
        <f t="shared" ref="AN23:AN24" si="40">AM53</f>
        <v>②李炷烽</v>
      </c>
      <c r="AO23" s="69"/>
      <c r="AP23" s="69"/>
      <c r="AQ23" s="72">
        <f t="shared" ref="AQ23:AQ24" si="41">AP53</f>
        <v>237</v>
      </c>
      <c r="AR23" s="73"/>
      <c r="AS23" s="65"/>
      <c r="AT23" s="66"/>
      <c r="AU23" s="66"/>
      <c r="AV23" s="66"/>
      <c r="AW23" s="67"/>
      <c r="AX23" s="68" t="str">
        <f t="shared" ref="AX23:AX24" si="42">AM43</f>
        <v>②李炷烽</v>
      </c>
      <c r="AY23" s="69"/>
      <c r="AZ23" s="69"/>
      <c r="BA23" s="72">
        <f t="shared" ref="BA23:BA24" si="43">AP43</f>
        <v>595</v>
      </c>
      <c r="BB23" s="73"/>
      <c r="BC23" s="65"/>
      <c r="BD23" s="66"/>
      <c r="BE23" s="66"/>
      <c r="BF23" s="66"/>
      <c r="BG23" s="67"/>
      <c r="BH23" s="15"/>
    </row>
    <row r="24" spans="2:60" ht="16.149999999999999" customHeight="1" thickBot="1">
      <c r="B24" s="17"/>
      <c r="C24" s="68" t="str">
        <f>AY42</f>
        <v>①吳炎成</v>
      </c>
      <c r="D24" s="69"/>
      <c r="E24" s="69"/>
      <c r="F24" s="70">
        <f>BB42</f>
        <v>9</v>
      </c>
      <c r="G24" s="71"/>
      <c r="H24" s="74" t="str">
        <f t="shared" si="36"/>
        <v>③黃積軍</v>
      </c>
      <c r="I24" s="75"/>
      <c r="J24" s="75"/>
      <c r="K24" s="76">
        <f t="shared" si="37"/>
        <v>5</v>
      </c>
      <c r="L24" s="77"/>
      <c r="M24" s="3"/>
      <c r="N24" s="3"/>
      <c r="O24" s="3"/>
      <c r="P24" s="3"/>
      <c r="Q24" s="3"/>
      <c r="R24" s="3"/>
      <c r="S24" s="3"/>
      <c r="T24" s="3"/>
      <c r="U24" s="3"/>
      <c r="V24" s="3"/>
      <c r="W24" s="3"/>
      <c r="X24" s="3"/>
      <c r="Y24" s="68" t="str">
        <f>O52</f>
        <v>①吳炎成</v>
      </c>
      <c r="Z24" s="69"/>
      <c r="AA24" s="69"/>
      <c r="AB24" s="70">
        <f>R52</f>
        <v>24</v>
      </c>
      <c r="AC24" s="71"/>
      <c r="AD24" s="68" t="str">
        <f>O42</f>
        <v>①吳炎成</v>
      </c>
      <c r="AE24" s="69"/>
      <c r="AF24" s="69"/>
      <c r="AG24" s="70">
        <f>R42</f>
        <v>16</v>
      </c>
      <c r="AH24" s="71"/>
      <c r="AI24" s="74" t="str">
        <f t="shared" si="38"/>
        <v>③黃積軍</v>
      </c>
      <c r="AJ24" s="75"/>
      <c r="AK24" s="75"/>
      <c r="AL24" s="76">
        <f t="shared" si="39"/>
        <v>0</v>
      </c>
      <c r="AM24" s="90"/>
      <c r="AN24" s="74" t="str">
        <f t="shared" si="40"/>
        <v>③黃積軍</v>
      </c>
      <c r="AO24" s="75"/>
      <c r="AP24" s="75"/>
      <c r="AQ24" s="76">
        <f t="shared" si="41"/>
        <v>14</v>
      </c>
      <c r="AR24" s="77"/>
      <c r="AS24" s="68" t="str">
        <f>AM67</f>
        <v>①吳炎成</v>
      </c>
      <c r="AT24" s="69"/>
      <c r="AU24" s="69"/>
      <c r="AV24" s="70">
        <f>AP67</f>
        <v>25</v>
      </c>
      <c r="AW24" s="71"/>
      <c r="AX24" s="74" t="str">
        <f t="shared" si="42"/>
        <v>③黃積軍</v>
      </c>
      <c r="AY24" s="75"/>
      <c r="AZ24" s="75"/>
      <c r="BA24" s="76">
        <f t="shared" si="43"/>
        <v>14</v>
      </c>
      <c r="BB24" s="77"/>
      <c r="BC24" s="68" t="str">
        <f>AM77</f>
        <v>①吳炎成</v>
      </c>
      <c r="BD24" s="69"/>
      <c r="BE24" s="69"/>
      <c r="BF24" s="70">
        <f>AP77</f>
        <v>2</v>
      </c>
      <c r="BG24" s="71"/>
      <c r="BH24" s="15"/>
    </row>
    <row r="25" spans="2:60" ht="16.149999999999999" customHeight="1" thickTop="1">
      <c r="B25" s="17"/>
      <c r="C25" s="68" t="str">
        <f t="shared" ref="C25:C26" si="44">AY43</f>
        <v>②李炷烽</v>
      </c>
      <c r="D25" s="69"/>
      <c r="E25" s="69"/>
      <c r="F25" s="72">
        <f t="shared" ref="F25:F26" si="45">BB43</f>
        <v>291</v>
      </c>
      <c r="G25" s="73"/>
      <c r="H25" s="3"/>
      <c r="I25" s="3"/>
      <c r="J25" s="3"/>
      <c r="K25" s="3"/>
      <c r="L25" s="3"/>
      <c r="M25" s="3"/>
      <c r="N25" s="3"/>
      <c r="O25" s="3"/>
      <c r="P25" s="3"/>
      <c r="Q25" s="3"/>
      <c r="R25" s="3"/>
      <c r="S25" s="3"/>
      <c r="T25" s="3"/>
      <c r="U25" s="3"/>
      <c r="V25" s="3"/>
      <c r="W25" s="3"/>
      <c r="X25" s="3"/>
      <c r="Y25" s="68" t="str">
        <f t="shared" ref="Y25:Y26" si="46">O53</f>
        <v>②李炷烽</v>
      </c>
      <c r="Z25" s="69"/>
      <c r="AA25" s="69"/>
      <c r="AB25" s="72">
        <f t="shared" ref="AB25:AB26" si="47">R53</f>
        <v>695</v>
      </c>
      <c r="AC25" s="73"/>
      <c r="AD25" s="68" t="str">
        <f t="shared" ref="AD25:AD26" si="48">O43</f>
        <v>②李炷烽</v>
      </c>
      <c r="AE25" s="69"/>
      <c r="AF25" s="69"/>
      <c r="AG25" s="72">
        <f t="shared" ref="AG25:AG26" si="49">R43</f>
        <v>423</v>
      </c>
      <c r="AH25" s="73"/>
      <c r="AI25" s="3"/>
      <c r="AJ25" s="3"/>
      <c r="AK25" s="3"/>
      <c r="AL25" s="3"/>
      <c r="AM25" s="3"/>
      <c r="AN25" s="3"/>
      <c r="AO25" s="3"/>
      <c r="AP25" s="3"/>
      <c r="AQ25" s="3"/>
      <c r="AR25" s="3"/>
      <c r="AS25" s="68" t="str">
        <f t="shared" ref="AS25:AS26" si="50">AM68</f>
        <v>②李炷烽</v>
      </c>
      <c r="AT25" s="69"/>
      <c r="AU25" s="69"/>
      <c r="AV25" s="72">
        <f t="shared" ref="AV25:AV26" si="51">AP68</f>
        <v>348</v>
      </c>
      <c r="AW25" s="73"/>
      <c r="AX25" s="62" t="str">
        <f>AL57</f>
        <v>料羅里</v>
      </c>
      <c r="AY25" s="63"/>
      <c r="AZ25" s="63"/>
      <c r="BA25" s="63"/>
      <c r="BB25" s="64"/>
      <c r="BC25" s="68" t="str">
        <f>AM78</f>
        <v>②李炷烽</v>
      </c>
      <c r="BD25" s="69"/>
      <c r="BE25" s="69"/>
      <c r="BF25" s="72">
        <f>AP78</f>
        <v>121</v>
      </c>
      <c r="BG25" s="73"/>
      <c r="BH25" s="15"/>
    </row>
    <row r="26" spans="2:60" ht="16.149999999999999" customHeight="1" thickBot="1">
      <c r="B26" s="17"/>
      <c r="C26" s="74" t="str">
        <f t="shared" si="44"/>
        <v>③黃積軍</v>
      </c>
      <c r="D26" s="75"/>
      <c r="E26" s="75"/>
      <c r="F26" s="76">
        <f t="shared" si="45"/>
        <v>6</v>
      </c>
      <c r="G26" s="77"/>
      <c r="H26" s="3"/>
      <c r="I26" s="3"/>
      <c r="J26" s="3"/>
      <c r="K26" s="3"/>
      <c r="L26" s="3"/>
      <c r="M26" s="3"/>
      <c r="N26" s="3"/>
      <c r="O26" s="3"/>
      <c r="P26" s="3"/>
      <c r="Q26" s="3"/>
      <c r="R26" s="3"/>
      <c r="S26" s="3"/>
      <c r="T26" s="3"/>
      <c r="U26" s="3"/>
      <c r="V26" s="3"/>
      <c r="W26" s="3"/>
      <c r="X26" s="3"/>
      <c r="Y26" s="74" t="str">
        <f t="shared" si="46"/>
        <v>③黃積軍</v>
      </c>
      <c r="Z26" s="75"/>
      <c r="AA26" s="75"/>
      <c r="AB26" s="76">
        <f t="shared" si="47"/>
        <v>24</v>
      </c>
      <c r="AC26" s="77"/>
      <c r="AD26" s="74" t="str">
        <f t="shared" si="48"/>
        <v>③黃積軍</v>
      </c>
      <c r="AE26" s="75"/>
      <c r="AF26" s="75"/>
      <c r="AG26" s="76">
        <f t="shared" si="49"/>
        <v>12</v>
      </c>
      <c r="AH26" s="77"/>
      <c r="AI26" s="3"/>
      <c r="AJ26" s="3"/>
      <c r="AK26" s="3"/>
      <c r="AL26" s="3"/>
      <c r="AM26" s="3"/>
      <c r="AN26" s="3"/>
      <c r="AO26" s="3"/>
      <c r="AP26" s="3"/>
      <c r="AQ26" s="3"/>
      <c r="AR26" s="3"/>
      <c r="AS26" s="74" t="str">
        <f t="shared" si="50"/>
        <v>③黃積軍</v>
      </c>
      <c r="AT26" s="75"/>
      <c r="AU26" s="75"/>
      <c r="AV26" s="76">
        <f t="shared" si="51"/>
        <v>16</v>
      </c>
      <c r="AW26" s="77"/>
      <c r="AX26" s="65"/>
      <c r="AY26" s="66"/>
      <c r="AZ26" s="66"/>
      <c r="BA26" s="66"/>
      <c r="BB26" s="67"/>
      <c r="BC26" s="74" t="str">
        <f>AM79</f>
        <v>③黃積軍</v>
      </c>
      <c r="BD26" s="75"/>
      <c r="BE26" s="75"/>
      <c r="BF26" s="76">
        <f>AP79</f>
        <v>8</v>
      </c>
      <c r="BG26" s="77"/>
      <c r="BH26" s="15"/>
    </row>
    <row r="27" spans="2:60" ht="16.149999999999999" customHeight="1" thickTop="1">
      <c r="B27" s="17"/>
      <c r="C27" s="3"/>
      <c r="D27" s="3"/>
      <c r="E27" s="3"/>
      <c r="F27" s="3"/>
      <c r="G27" s="3"/>
      <c r="H27" s="3"/>
      <c r="I27" s="3"/>
      <c r="J27" s="3"/>
      <c r="K27" s="3"/>
      <c r="L27" s="3"/>
      <c r="M27" s="3"/>
      <c r="N27" s="3"/>
      <c r="O27" s="3"/>
      <c r="P27" s="3"/>
      <c r="Q27" s="3"/>
      <c r="R27" s="62" t="str">
        <f>N67</f>
        <v>金水里</v>
      </c>
      <c r="S27" s="63"/>
      <c r="T27" s="63"/>
      <c r="U27" s="63"/>
      <c r="V27" s="64"/>
      <c r="W27" s="62" t="str">
        <f>N77</f>
        <v>賢庵里</v>
      </c>
      <c r="X27" s="63"/>
      <c r="Y27" s="63"/>
      <c r="Z27" s="63"/>
      <c r="AA27" s="64"/>
      <c r="AB27" s="62" t="str">
        <f>N72</f>
        <v>珠沙里</v>
      </c>
      <c r="AC27" s="63"/>
      <c r="AD27" s="63"/>
      <c r="AE27" s="63"/>
      <c r="AF27" s="64"/>
      <c r="AG27" s="3"/>
      <c r="AH27" s="3"/>
      <c r="AI27" s="3"/>
      <c r="AJ27" s="3"/>
      <c r="AK27" s="3"/>
      <c r="AL27" s="3"/>
      <c r="AM27" s="3"/>
      <c r="AN27" s="3"/>
      <c r="AO27" s="3"/>
      <c r="AP27" s="3"/>
      <c r="AQ27" s="3"/>
      <c r="AR27" s="3"/>
      <c r="AS27" s="3"/>
      <c r="AT27" s="3"/>
      <c r="AU27" s="3"/>
      <c r="AV27" s="3"/>
      <c r="AW27" s="3"/>
      <c r="AX27" s="68" t="str">
        <f>AM57</f>
        <v>①吳炎成</v>
      </c>
      <c r="AY27" s="69"/>
      <c r="AZ27" s="69"/>
      <c r="BA27" s="70">
        <f>AP57</f>
        <v>10</v>
      </c>
      <c r="BB27" s="71"/>
      <c r="BC27" s="3"/>
      <c r="BD27" s="3"/>
      <c r="BE27" s="3"/>
      <c r="BF27" s="3"/>
      <c r="BG27" s="3"/>
      <c r="BH27" s="15"/>
    </row>
    <row r="28" spans="2:60" ht="16.149999999999999" customHeight="1">
      <c r="B28" s="17"/>
      <c r="C28" s="3"/>
      <c r="D28" s="3"/>
      <c r="E28" s="3"/>
      <c r="F28" s="3"/>
      <c r="G28" s="3"/>
      <c r="H28" s="3"/>
      <c r="I28" s="3"/>
      <c r="J28" s="3"/>
      <c r="K28" s="3"/>
      <c r="L28" s="3"/>
      <c r="M28" s="3"/>
      <c r="N28" s="3"/>
      <c r="O28" s="3"/>
      <c r="P28" s="3"/>
      <c r="Q28" s="3"/>
      <c r="R28" s="65"/>
      <c r="S28" s="66"/>
      <c r="T28" s="66"/>
      <c r="U28" s="66"/>
      <c r="V28" s="67"/>
      <c r="W28" s="65"/>
      <c r="X28" s="66"/>
      <c r="Y28" s="66"/>
      <c r="Z28" s="66"/>
      <c r="AA28" s="67"/>
      <c r="AB28" s="65"/>
      <c r="AC28" s="66"/>
      <c r="AD28" s="66"/>
      <c r="AE28" s="66"/>
      <c r="AF28" s="67"/>
      <c r="AG28" s="3"/>
      <c r="AH28" s="3"/>
      <c r="AI28" s="3"/>
      <c r="AJ28" s="3"/>
      <c r="AK28" s="3"/>
      <c r="AL28" s="3"/>
      <c r="AM28" s="3"/>
      <c r="AN28" s="3"/>
      <c r="AO28" s="3"/>
      <c r="AP28" s="3"/>
      <c r="AQ28" s="3"/>
      <c r="AR28" s="3"/>
      <c r="AS28" s="3"/>
      <c r="AT28" s="3"/>
      <c r="AU28" s="3"/>
      <c r="AV28" s="3"/>
      <c r="AW28" s="3"/>
      <c r="AX28" s="68" t="str">
        <f t="shared" ref="AX28:AX29" si="52">AM58</f>
        <v>②李炷烽</v>
      </c>
      <c r="AY28" s="69"/>
      <c r="AZ28" s="69"/>
      <c r="BA28" s="72">
        <f t="shared" ref="BA28:BA29" si="53">AP58</f>
        <v>193</v>
      </c>
      <c r="BB28" s="73"/>
      <c r="BC28" s="3"/>
      <c r="BD28" s="3"/>
      <c r="BE28" s="3"/>
      <c r="BF28" s="3"/>
      <c r="BG28" s="3"/>
      <c r="BH28" s="15"/>
    </row>
    <row r="29" spans="2:60" ht="16.149999999999999" customHeight="1" thickBot="1">
      <c r="B29" s="17"/>
      <c r="C29" s="94" t="s">
        <v>32</v>
      </c>
      <c r="D29" s="96" t="str">
        <f>AY42</f>
        <v>①吳炎成</v>
      </c>
      <c r="E29" s="97"/>
      <c r="F29" s="97"/>
      <c r="G29" s="97"/>
      <c r="H29" s="117">
        <f ca="1">SUMIF(AY42:BB64,D29,BC42:BE64)</f>
        <v>27</v>
      </c>
      <c r="I29" s="118"/>
      <c r="J29" s="118"/>
      <c r="K29" s="119">
        <f ca="1">H29/SUM(H29:H31)</f>
        <v>2.5375939849624059E-2</v>
      </c>
      <c r="L29" s="97"/>
      <c r="M29" s="97"/>
      <c r="N29" s="3"/>
      <c r="O29" s="3"/>
      <c r="P29" s="3"/>
      <c r="Q29" s="3"/>
      <c r="R29" s="68" t="str">
        <f>O67</f>
        <v>①吳炎成</v>
      </c>
      <c r="S29" s="69"/>
      <c r="T29" s="69"/>
      <c r="U29" s="70">
        <f>R67</f>
        <v>3</v>
      </c>
      <c r="V29" s="71"/>
      <c r="W29" s="68" t="str">
        <f>O77</f>
        <v>①吳炎成</v>
      </c>
      <c r="X29" s="69"/>
      <c r="Y29" s="69"/>
      <c r="Z29" s="70">
        <f>R77</f>
        <v>20</v>
      </c>
      <c r="AA29" s="71"/>
      <c r="AB29" s="68" t="str">
        <f>O72</f>
        <v>①吳炎成</v>
      </c>
      <c r="AC29" s="69"/>
      <c r="AD29" s="69"/>
      <c r="AE29" s="70">
        <f>R72</f>
        <v>3</v>
      </c>
      <c r="AF29" s="71"/>
      <c r="AG29" s="3"/>
      <c r="AH29" s="3"/>
      <c r="AI29" s="94" t="s">
        <v>34</v>
      </c>
      <c r="AJ29" s="96" t="str">
        <f>AA42</f>
        <v>①吳炎成</v>
      </c>
      <c r="AK29" s="97"/>
      <c r="AL29" s="97"/>
      <c r="AM29" s="97">
        <f>SUM(AD42,AD47,AD52,AD57,AD62,AD67,AD72,AD77)</f>
        <v>93</v>
      </c>
      <c r="AN29" s="117">
        <f ca="1">SUMIF(AA42:AD79,AJ29,AE42:AG79)</f>
        <v>93</v>
      </c>
      <c r="AO29" s="118"/>
      <c r="AP29" s="118">
        <f>AM29/7105</f>
        <v>1.3089373680506685E-2</v>
      </c>
      <c r="AQ29" s="119">
        <f ca="1">AN29/SUM(AN29:AN31)</f>
        <v>4.9892703862660946E-2</v>
      </c>
      <c r="AR29" s="97"/>
      <c r="AS29" s="97"/>
      <c r="AT29" s="3"/>
      <c r="AU29" s="3"/>
      <c r="AV29" s="3"/>
      <c r="AW29" s="3"/>
      <c r="AX29" s="74" t="str">
        <f t="shared" si="52"/>
        <v>③黃積軍</v>
      </c>
      <c r="AY29" s="75"/>
      <c r="AZ29" s="75"/>
      <c r="BA29" s="76">
        <f t="shared" si="53"/>
        <v>6</v>
      </c>
      <c r="BB29" s="77"/>
      <c r="BC29" s="3"/>
      <c r="BD29" s="3"/>
      <c r="BE29" s="3"/>
      <c r="BF29" s="3"/>
      <c r="BG29" s="3"/>
      <c r="BH29" s="15"/>
    </row>
    <row r="30" spans="2:60" ht="16.149999999999999" customHeight="1" thickTop="1">
      <c r="B30" s="17"/>
      <c r="C30" s="95"/>
      <c r="D30" s="96" t="str">
        <f t="shared" ref="D30:D31" si="54">AY43</f>
        <v>②李炷烽</v>
      </c>
      <c r="E30" s="97"/>
      <c r="F30" s="97"/>
      <c r="G30" s="97"/>
      <c r="H30" s="117">
        <f ca="1">SUMIF(AY42:BB64,D30,BC42:BE64)</f>
        <v>1016</v>
      </c>
      <c r="I30" s="118"/>
      <c r="J30" s="118">
        <f t="shared" ref="J30:J31" si="55">G30/4168</f>
        <v>0</v>
      </c>
      <c r="K30" s="119">
        <f ca="1">H30/SUM(H29:H31)</f>
        <v>0.95488721804511278</v>
      </c>
      <c r="L30" s="97"/>
      <c r="M30" s="97"/>
      <c r="N30" s="3"/>
      <c r="O30" s="3"/>
      <c r="P30" s="3"/>
      <c r="Q30" s="3"/>
      <c r="R30" s="68" t="str">
        <f>O68</f>
        <v>②李炷烽</v>
      </c>
      <c r="S30" s="69"/>
      <c r="T30" s="69"/>
      <c r="U30" s="72">
        <f t="shared" ref="U30:U31" si="56">R68</f>
        <v>166</v>
      </c>
      <c r="V30" s="73"/>
      <c r="W30" s="68" t="str">
        <f>O78</f>
        <v>②李炷烽</v>
      </c>
      <c r="X30" s="69"/>
      <c r="Y30" s="69"/>
      <c r="Z30" s="72">
        <f>R78</f>
        <v>337</v>
      </c>
      <c r="AA30" s="73"/>
      <c r="AB30" s="68" t="str">
        <f>O73</f>
        <v>②李炷烽</v>
      </c>
      <c r="AC30" s="69"/>
      <c r="AD30" s="69"/>
      <c r="AE30" s="72">
        <f>R73</f>
        <v>156</v>
      </c>
      <c r="AF30" s="73"/>
      <c r="AG30" s="3"/>
      <c r="AH30" s="3"/>
      <c r="AI30" s="95"/>
      <c r="AJ30" s="96" t="str">
        <f t="shared" ref="AJ30:AJ31" si="57">AA43</f>
        <v>②李炷烽</v>
      </c>
      <c r="AK30" s="97"/>
      <c r="AL30" s="97"/>
      <c r="AM30" s="97">
        <f>SUM(AD43,AD48,AD53,AD58,AD63,AD68,AD73,AD78)</f>
        <v>1711</v>
      </c>
      <c r="AN30" s="117">
        <f ca="1">SUMIF(AA42:AD79,AJ30,AE42:AG79)</f>
        <v>1711</v>
      </c>
      <c r="AO30" s="118"/>
      <c r="AP30" s="118">
        <f t="shared" ref="AP30:AP31" si="58">AM30/7105</f>
        <v>0.24081632653061225</v>
      </c>
      <c r="AQ30" s="119">
        <f ca="1">AN30/SUM(AN29:AN31)</f>
        <v>0.9179184549356223</v>
      </c>
      <c r="AR30" s="97"/>
      <c r="AS30" s="97"/>
      <c r="AT30" s="3"/>
      <c r="AU30" s="3"/>
      <c r="AV30" s="3"/>
      <c r="AW30" s="3"/>
      <c r="AX30" s="3"/>
      <c r="AY30" s="3"/>
      <c r="AZ30" s="3"/>
      <c r="BA30" s="3"/>
      <c r="BB30" s="3"/>
      <c r="BC30" s="3"/>
      <c r="BD30" s="3"/>
      <c r="BE30" s="3"/>
      <c r="BF30" s="3"/>
      <c r="BG30" s="3"/>
      <c r="BH30" s="15"/>
    </row>
    <row r="31" spans="2:60" ht="16.149999999999999" customHeight="1" thickBot="1">
      <c r="B31" s="17"/>
      <c r="C31" s="95"/>
      <c r="D31" s="96" t="str">
        <f t="shared" si="54"/>
        <v>③黃積軍</v>
      </c>
      <c r="E31" s="97"/>
      <c r="F31" s="97"/>
      <c r="G31" s="97"/>
      <c r="H31" s="117">
        <f ca="1">SUMIF(AY42:BB64,D31,BC42:BE64)</f>
        <v>21</v>
      </c>
      <c r="I31" s="118"/>
      <c r="J31" s="118">
        <f t="shared" si="55"/>
        <v>0</v>
      </c>
      <c r="K31" s="119">
        <f ca="1">H31/SUM(H29:H31)</f>
        <v>1.9736842105263157E-2</v>
      </c>
      <c r="L31" s="97"/>
      <c r="M31" s="97"/>
      <c r="N31" s="3"/>
      <c r="O31" s="3"/>
      <c r="P31" s="3"/>
      <c r="Q31" s="3"/>
      <c r="R31" s="74" t="str">
        <f>O69</f>
        <v>③黃積軍</v>
      </c>
      <c r="S31" s="75"/>
      <c r="T31" s="75"/>
      <c r="U31" s="76">
        <f t="shared" si="56"/>
        <v>33</v>
      </c>
      <c r="V31" s="77"/>
      <c r="W31" s="74" t="str">
        <f>O79</f>
        <v>③黃積軍</v>
      </c>
      <c r="X31" s="75"/>
      <c r="Y31" s="75"/>
      <c r="Z31" s="76">
        <f>R79</f>
        <v>12</v>
      </c>
      <c r="AA31" s="77"/>
      <c r="AB31" s="74" t="str">
        <f>O74</f>
        <v>③黃積軍</v>
      </c>
      <c r="AC31" s="75"/>
      <c r="AD31" s="75"/>
      <c r="AE31" s="76">
        <f>R74</f>
        <v>2</v>
      </c>
      <c r="AF31" s="77"/>
      <c r="AG31" s="3"/>
      <c r="AH31" s="3"/>
      <c r="AI31" s="95"/>
      <c r="AJ31" s="96" t="str">
        <f t="shared" si="57"/>
        <v>③黃積軍</v>
      </c>
      <c r="AK31" s="97"/>
      <c r="AL31" s="97"/>
      <c r="AM31" s="97">
        <f>SUM(AD44,AD49,AD54,AD59,AD64,AD69,AD74,AD79)</f>
        <v>60</v>
      </c>
      <c r="AN31" s="117">
        <f ca="1">SUMIF(AA42:AD79,AJ31,AE42:AG79)</f>
        <v>60</v>
      </c>
      <c r="AO31" s="118"/>
      <c r="AP31" s="118">
        <f t="shared" si="58"/>
        <v>8.44475721323012E-3</v>
      </c>
      <c r="AQ31" s="119">
        <f ca="1">AN31/SUM(AN29:AN31)</f>
        <v>3.2188841201716736E-2</v>
      </c>
      <c r="AR31" s="97"/>
      <c r="AS31" s="97"/>
      <c r="AT31" s="3"/>
      <c r="AU31" s="3"/>
      <c r="AV31" s="3"/>
      <c r="AW31" s="3"/>
      <c r="AX31" s="3"/>
      <c r="AY31" s="3"/>
      <c r="AZ31" s="3"/>
      <c r="BA31" s="3"/>
      <c r="BB31" s="3"/>
      <c r="BC31" s="3"/>
      <c r="BD31" s="3"/>
      <c r="BE31" s="3"/>
      <c r="BF31" s="3"/>
      <c r="BG31" s="3"/>
      <c r="BH31" s="15"/>
    </row>
    <row r="32" spans="2:60" ht="16.149999999999999" customHeight="1" thickTop="1">
      <c r="B32" s="17"/>
      <c r="C32" s="116" t="s">
        <v>33</v>
      </c>
      <c r="D32" s="131" t="str">
        <f>C42</f>
        <v>①吳炎成</v>
      </c>
      <c r="E32" s="132"/>
      <c r="F32" s="132"/>
      <c r="G32" s="132">
        <f>SUM(F42,F47,F52,F57,F62,F67)</f>
        <v>0</v>
      </c>
      <c r="H32" s="133">
        <f ca="1">SUMIF(C42:F69,D32,G42:I69)</f>
        <v>54</v>
      </c>
      <c r="I32" s="134"/>
      <c r="J32" s="134">
        <f>G32/10846</f>
        <v>0</v>
      </c>
      <c r="K32" s="135">
        <f t="shared" ref="K32:K35" ca="1" si="59">H32/SUM(H32:H34)</f>
        <v>2.8465998945703744E-2</v>
      </c>
      <c r="L32" s="132"/>
      <c r="M32" s="132"/>
      <c r="N32" s="3"/>
      <c r="O32" s="3"/>
      <c r="P32" s="3"/>
      <c r="Q32" s="3"/>
      <c r="R32" s="3"/>
      <c r="S32" s="3"/>
      <c r="T32" s="3"/>
      <c r="U32" s="3"/>
      <c r="V32" s="3"/>
      <c r="W32" s="62" t="str">
        <f>N62</f>
        <v>古城里</v>
      </c>
      <c r="X32" s="63"/>
      <c r="Y32" s="63"/>
      <c r="Z32" s="63"/>
      <c r="AA32" s="64"/>
      <c r="AB32" s="3"/>
      <c r="AC32" s="3"/>
      <c r="AD32" s="3"/>
      <c r="AE32" s="3"/>
      <c r="AF32" s="3"/>
      <c r="AG32" s="3"/>
      <c r="AH32" s="3"/>
      <c r="AI32" s="116" t="s">
        <v>35</v>
      </c>
      <c r="AJ32" s="131" t="str">
        <f>AM42</f>
        <v>①吳炎成</v>
      </c>
      <c r="AK32" s="132"/>
      <c r="AL32" s="132"/>
      <c r="AM32" s="132">
        <f>SUM(AP42,AP47,AP52,AP57,AP62,AP67,AP72,AP77)</f>
        <v>132</v>
      </c>
      <c r="AN32" s="133">
        <f ca="1">SUMIF(AM42:AP79,AJ32,AQ42:AS79)</f>
        <v>132</v>
      </c>
      <c r="AO32" s="134"/>
      <c r="AP32" s="134">
        <f>AM32/10668</f>
        <v>1.2373453318335208E-2</v>
      </c>
      <c r="AQ32" s="135">
        <f t="shared" ref="AQ32" ca="1" si="60">AN32/SUM(AN32:AN34)</f>
        <v>5.1502145922746781E-2</v>
      </c>
      <c r="AR32" s="132"/>
      <c r="AS32" s="132"/>
      <c r="AT32" s="3"/>
      <c r="AU32" s="3"/>
      <c r="AV32" s="3"/>
      <c r="AW32" s="62" t="str">
        <f>AX69</f>
        <v>大坵村</v>
      </c>
      <c r="AX32" s="63"/>
      <c r="AY32" s="63"/>
      <c r="AZ32" s="63"/>
      <c r="BA32" s="64"/>
      <c r="BB32" s="3"/>
      <c r="BC32" s="149"/>
      <c r="BD32" s="150"/>
      <c r="BE32" s="150"/>
      <c r="BF32" s="150"/>
      <c r="BG32" s="151"/>
      <c r="BH32" s="15"/>
    </row>
    <row r="33" spans="2:73" ht="16.149999999999999" customHeight="1">
      <c r="B33" s="17"/>
      <c r="C33" s="95"/>
      <c r="D33" s="131" t="str">
        <f t="shared" ref="D33:D34" si="61">C43</f>
        <v>②李炷烽</v>
      </c>
      <c r="E33" s="132"/>
      <c r="F33" s="132"/>
      <c r="G33" s="132">
        <f>SUM(F43,F48,F53,F58,F63,F68)</f>
        <v>0</v>
      </c>
      <c r="H33" s="133">
        <f ca="1">SUMIF(C42:F69,D33,G42:I69)</f>
        <v>1822</v>
      </c>
      <c r="I33" s="134"/>
      <c r="J33" s="134">
        <f t="shared" ref="J33:J34" si="62">G33/10846</f>
        <v>0</v>
      </c>
      <c r="K33" s="135">
        <f ca="1">H33/SUM(H32:H34)</f>
        <v>0.96046389035318924</v>
      </c>
      <c r="L33" s="132"/>
      <c r="M33" s="132"/>
      <c r="N33" s="3"/>
      <c r="O33" s="3"/>
      <c r="P33" s="3"/>
      <c r="Q33" s="3"/>
      <c r="R33" s="3"/>
      <c r="S33" s="3"/>
      <c r="T33" s="3"/>
      <c r="U33" s="3"/>
      <c r="V33" s="3"/>
      <c r="W33" s="65"/>
      <c r="X33" s="66"/>
      <c r="Y33" s="66"/>
      <c r="Z33" s="66"/>
      <c r="AA33" s="67"/>
      <c r="AB33" s="3"/>
      <c r="AC33" s="3"/>
      <c r="AD33" s="3"/>
      <c r="AE33" s="3"/>
      <c r="AF33" s="3"/>
      <c r="AG33" s="3"/>
      <c r="AH33" s="3"/>
      <c r="AI33" s="95"/>
      <c r="AJ33" s="131" t="str">
        <f t="shared" ref="AJ33:AJ34" si="63">AM43</f>
        <v>②李炷烽</v>
      </c>
      <c r="AK33" s="132"/>
      <c r="AL33" s="132"/>
      <c r="AM33" s="132">
        <f>SUM(AP43,AP48,AP53,AP58,AP63,AP68,AP73,AP78)</f>
        <v>2353</v>
      </c>
      <c r="AN33" s="133">
        <f ca="1">SUMIF(AM42:AP79,AJ33,AQ42:AS79)</f>
        <v>2353</v>
      </c>
      <c r="AO33" s="134"/>
      <c r="AP33" s="134">
        <f t="shared" ref="AP33:AP34" si="64">AM33/10668</f>
        <v>0.22056617922759655</v>
      </c>
      <c r="AQ33" s="135">
        <f ca="1">AN33/SUM(AN32:AN34)</f>
        <v>0.91806476785017554</v>
      </c>
      <c r="AR33" s="132"/>
      <c r="AS33" s="132"/>
      <c r="AT33" s="3"/>
      <c r="AU33" s="3"/>
      <c r="AV33" s="3"/>
      <c r="AW33" s="65"/>
      <c r="AX33" s="66"/>
      <c r="AY33" s="66"/>
      <c r="AZ33" s="66"/>
      <c r="BA33" s="67"/>
      <c r="BB33" s="3"/>
      <c r="BC33" s="152"/>
      <c r="BD33" s="153"/>
      <c r="BE33" s="153"/>
      <c r="BF33" s="153"/>
      <c r="BG33" s="154"/>
      <c r="BH33" s="15"/>
    </row>
    <row r="34" spans="2:73" ht="16.149999999999999" customHeight="1">
      <c r="B34" s="17"/>
      <c r="C34" s="95"/>
      <c r="D34" s="131" t="str">
        <f t="shared" si="61"/>
        <v>③黃積軍</v>
      </c>
      <c r="E34" s="132"/>
      <c r="F34" s="132"/>
      <c r="G34" s="132">
        <f>SUM(F44,F49,F54,F59,F64,F69)</f>
        <v>0</v>
      </c>
      <c r="H34" s="133">
        <f ca="1">SUMIF(C42:F69,D34,G42:I69)</f>
        <v>21</v>
      </c>
      <c r="I34" s="134"/>
      <c r="J34" s="134">
        <f t="shared" si="62"/>
        <v>0</v>
      </c>
      <c r="K34" s="135">
        <f ca="1">H34/SUM(H32:H34)</f>
        <v>1.107011070110701E-2</v>
      </c>
      <c r="L34" s="132"/>
      <c r="M34" s="132"/>
      <c r="N34" s="3"/>
      <c r="O34" s="3"/>
      <c r="P34" s="3"/>
      <c r="Q34" s="3"/>
      <c r="R34" s="3"/>
      <c r="S34" s="3"/>
      <c r="T34" s="3"/>
      <c r="U34" s="3"/>
      <c r="V34" s="3"/>
      <c r="W34" s="68" t="str">
        <f>O62</f>
        <v>①吳炎成</v>
      </c>
      <c r="X34" s="69"/>
      <c r="Y34" s="69"/>
      <c r="Z34" s="70">
        <f>R57</f>
        <v>12</v>
      </c>
      <c r="AA34" s="71"/>
      <c r="AB34" s="3"/>
      <c r="AC34" s="3"/>
      <c r="AD34" s="3"/>
      <c r="AE34" s="3"/>
      <c r="AF34" s="3"/>
      <c r="AG34" s="3"/>
      <c r="AH34" s="3"/>
      <c r="AI34" s="95"/>
      <c r="AJ34" s="131" t="str">
        <f t="shared" si="63"/>
        <v>③黃積軍</v>
      </c>
      <c r="AK34" s="132"/>
      <c r="AL34" s="132"/>
      <c r="AM34" s="132">
        <f>SUM(AP44,AP49,AP54,AP59,AP64,AP69,AP74,AP79)</f>
        <v>78</v>
      </c>
      <c r="AN34" s="133">
        <f ca="1">SUMIF(AM42:AP79,AJ34,AQ42:AS79)</f>
        <v>78</v>
      </c>
      <c r="AO34" s="134"/>
      <c r="AP34" s="134">
        <f t="shared" si="64"/>
        <v>7.3115860517435323E-3</v>
      </c>
      <c r="AQ34" s="135">
        <f ca="1">AN34/SUM(AN32:AN34)</f>
        <v>3.0433086227077643E-2</v>
      </c>
      <c r="AR34" s="132"/>
      <c r="AS34" s="132"/>
      <c r="AT34" s="3"/>
      <c r="AU34" s="3"/>
      <c r="AV34" s="3"/>
      <c r="AW34" s="68" t="str">
        <f>AY69</f>
        <v>①吳炎成</v>
      </c>
      <c r="AX34" s="69"/>
      <c r="AY34" s="69"/>
      <c r="AZ34" s="70">
        <f>BB69</f>
        <v>0</v>
      </c>
      <c r="BA34" s="71"/>
      <c r="BB34" s="3"/>
      <c r="BC34" s="139"/>
      <c r="BD34" s="140"/>
      <c r="BE34" s="140"/>
      <c r="BF34" s="141"/>
      <c r="BG34" s="142"/>
      <c r="BH34" s="15"/>
    </row>
    <row r="35" spans="2:73" ht="16.149999999999999" customHeight="1">
      <c r="B35" s="17"/>
      <c r="C35" s="94" t="s">
        <v>12</v>
      </c>
      <c r="D35" s="96" t="str">
        <f>O42</f>
        <v>①吳炎成</v>
      </c>
      <c r="E35" s="97"/>
      <c r="F35" s="97"/>
      <c r="G35" s="97">
        <f>SUM(R42,R47,R52,R57,R62,R67,R72,R77)</f>
        <v>112</v>
      </c>
      <c r="H35" s="117">
        <f>SUMIF(O42:O79,D35,S42:S79)</f>
        <v>112</v>
      </c>
      <c r="I35" s="118"/>
      <c r="J35" s="118">
        <f>G35/14119</f>
        <v>7.9325731284085269E-3</v>
      </c>
      <c r="K35" s="119">
        <f t="shared" si="59"/>
        <v>3.0930682132007732E-2</v>
      </c>
      <c r="L35" s="97"/>
      <c r="M35" s="97"/>
      <c r="N35" s="3"/>
      <c r="O35" s="3"/>
      <c r="P35" s="3"/>
      <c r="Q35" s="3"/>
      <c r="R35" s="3"/>
      <c r="S35" s="3"/>
      <c r="T35" s="3"/>
      <c r="U35" s="3"/>
      <c r="V35" s="3"/>
      <c r="W35" s="68" t="str">
        <f>O63</f>
        <v>②李炷烽</v>
      </c>
      <c r="X35" s="69"/>
      <c r="Y35" s="69"/>
      <c r="Z35" s="72">
        <f t="shared" ref="Z35:Z36" si="65">R58</f>
        <v>463</v>
      </c>
      <c r="AA35" s="73"/>
      <c r="AB35" s="3"/>
      <c r="AC35" s="3"/>
      <c r="AD35" s="3"/>
      <c r="AE35" s="3"/>
      <c r="AF35" s="3"/>
      <c r="AG35" s="3"/>
      <c r="AH35" s="3"/>
      <c r="AI35" s="94" t="s">
        <v>36</v>
      </c>
      <c r="AJ35" s="96" t="str">
        <f>AY69</f>
        <v>①吳炎成</v>
      </c>
      <c r="AK35" s="97"/>
      <c r="AL35" s="97"/>
      <c r="AM35" s="97">
        <f>SUM(BB69,BB72)</f>
        <v>3</v>
      </c>
      <c r="AN35" s="117">
        <f ca="1">SUMIF(AY69:BB74,AJ35,BC69:BE74)</f>
        <v>0</v>
      </c>
      <c r="AO35" s="118"/>
      <c r="AP35" s="118">
        <f>AM35/208</f>
        <v>1.4423076923076924E-2</v>
      </c>
      <c r="AQ35" s="119">
        <f t="shared" ref="AQ35" ca="1" si="66">AN35/SUM(AN35:AN37)</f>
        <v>0</v>
      </c>
      <c r="AR35" s="97"/>
      <c r="AS35" s="97"/>
      <c r="AT35" s="3"/>
      <c r="AU35" s="3"/>
      <c r="AV35" s="3"/>
      <c r="AW35" s="68" t="str">
        <f t="shared" ref="AW35:AW36" si="67">AY70</f>
        <v>②李炷烽</v>
      </c>
      <c r="AX35" s="69"/>
      <c r="AY35" s="69"/>
      <c r="AZ35" s="72">
        <f t="shared" ref="AZ35:AZ36" si="68">BB70</f>
        <v>1</v>
      </c>
      <c r="BA35" s="73"/>
      <c r="BB35" s="3"/>
      <c r="BC35" s="139"/>
      <c r="BD35" s="140"/>
      <c r="BE35" s="140"/>
      <c r="BF35" s="143"/>
      <c r="BG35" s="144"/>
      <c r="BH35" s="15"/>
    </row>
    <row r="36" spans="2:73" ht="16.149999999999999" customHeight="1" thickBot="1">
      <c r="B36" s="17"/>
      <c r="C36" s="95"/>
      <c r="D36" s="96" t="str">
        <f t="shared" ref="D36:D37" si="69">O43</f>
        <v>②李炷烽</v>
      </c>
      <c r="E36" s="97"/>
      <c r="F36" s="97"/>
      <c r="G36" s="97">
        <f>SUM(R43,R48,R53,R58,R63,R68,R73,R78)</f>
        <v>3386</v>
      </c>
      <c r="H36" s="117">
        <f>SUMIF(O42:O79,D36,S42:S79)</f>
        <v>3386</v>
      </c>
      <c r="I36" s="117"/>
      <c r="J36" s="117">
        <f t="shared" ref="J36:J37" si="70">G36/14119</f>
        <v>0.23981868404277923</v>
      </c>
      <c r="K36" s="119">
        <f>H36/SUM(H35:H37)</f>
        <v>0.93510080088373382</v>
      </c>
      <c r="L36" s="97"/>
      <c r="M36" s="97"/>
      <c r="N36" s="3"/>
      <c r="O36" s="3"/>
      <c r="P36" s="3"/>
      <c r="Q36" s="3"/>
      <c r="R36" s="3"/>
      <c r="S36" s="3"/>
      <c r="T36" s="3"/>
      <c r="U36" s="3"/>
      <c r="V36" s="3"/>
      <c r="W36" s="74" t="str">
        <f>O64</f>
        <v>③黃積軍</v>
      </c>
      <c r="X36" s="75"/>
      <c r="Y36" s="75"/>
      <c r="Z36" s="76">
        <f t="shared" si="65"/>
        <v>15</v>
      </c>
      <c r="AA36" s="77"/>
      <c r="AB36" s="3"/>
      <c r="AC36" s="3"/>
      <c r="AD36" s="3"/>
      <c r="AE36" s="3"/>
      <c r="AF36" s="3"/>
      <c r="AG36" s="3"/>
      <c r="AH36" s="3"/>
      <c r="AI36" s="95"/>
      <c r="AJ36" s="96" t="str">
        <f t="shared" ref="AJ36:AJ37" si="71">AY70</f>
        <v>②李炷烽</v>
      </c>
      <c r="AK36" s="97"/>
      <c r="AL36" s="97"/>
      <c r="AM36" s="97">
        <f t="shared" ref="AM36:AM37" si="72">SUM(BB70,BB73)</f>
        <v>10</v>
      </c>
      <c r="AN36" s="117">
        <f ca="1">SUMIF(AY69:BB74,AJ36,BC69:BE74)</f>
        <v>1</v>
      </c>
      <c r="AO36" s="118"/>
      <c r="AP36" s="118">
        <f t="shared" ref="AP36:AP37" si="73">AM36/208</f>
        <v>4.807692307692308E-2</v>
      </c>
      <c r="AQ36" s="119">
        <f ca="1">AN36/SUM(AN35:AN37)</f>
        <v>1</v>
      </c>
      <c r="AR36" s="97"/>
      <c r="AS36" s="97"/>
      <c r="AT36" s="3"/>
      <c r="AU36" s="3"/>
      <c r="AV36" s="3"/>
      <c r="AW36" s="74" t="str">
        <f t="shared" si="67"/>
        <v>③黃積軍</v>
      </c>
      <c r="AX36" s="75"/>
      <c r="AY36" s="75"/>
      <c r="AZ36" s="76">
        <f t="shared" si="68"/>
        <v>0</v>
      </c>
      <c r="BA36" s="77"/>
      <c r="BB36" s="3"/>
      <c r="BC36" s="145"/>
      <c r="BD36" s="146"/>
      <c r="BE36" s="146"/>
      <c r="BF36" s="147"/>
      <c r="BG36" s="148"/>
      <c r="BH36" s="15"/>
    </row>
    <row r="37" spans="2:73" ht="16.149999999999999" customHeight="1" thickTop="1">
      <c r="B37" s="17"/>
      <c r="C37" s="95"/>
      <c r="D37" s="96" t="str">
        <f t="shared" si="69"/>
        <v>③黃積軍</v>
      </c>
      <c r="E37" s="97"/>
      <c r="F37" s="97"/>
      <c r="G37" s="97">
        <f>SUM(R44,R49,R54,R59,R64,R69,R74,R79)</f>
        <v>123</v>
      </c>
      <c r="H37" s="117">
        <f>SUMIF(O42:O79,D37,S42:S79)</f>
        <v>123</v>
      </c>
      <c r="I37" s="118"/>
      <c r="J37" s="118">
        <f t="shared" si="70"/>
        <v>8.7116651320915083E-3</v>
      </c>
      <c r="K37" s="119">
        <f>H37/SUM(H35:H37)</f>
        <v>3.3968516984258491E-2</v>
      </c>
      <c r="L37" s="97"/>
      <c r="M37" s="97"/>
      <c r="N37" s="3"/>
      <c r="O37" s="3"/>
      <c r="P37" s="3"/>
      <c r="Q37" s="3"/>
      <c r="R37" s="3"/>
      <c r="S37" s="3"/>
      <c r="T37" s="3"/>
      <c r="U37" s="3"/>
      <c r="V37" s="3"/>
      <c r="W37" s="3"/>
      <c r="X37" s="3"/>
      <c r="Y37" s="3"/>
      <c r="Z37" s="28"/>
      <c r="AA37" s="28"/>
      <c r="AB37" s="3"/>
      <c r="AC37" s="3"/>
      <c r="AD37" s="3"/>
      <c r="AE37" s="3"/>
      <c r="AF37" s="3"/>
      <c r="AG37" s="3"/>
      <c r="AH37" s="3"/>
      <c r="AI37" s="95"/>
      <c r="AJ37" s="96" t="str">
        <f t="shared" si="71"/>
        <v>③黃積軍</v>
      </c>
      <c r="AK37" s="97"/>
      <c r="AL37" s="97"/>
      <c r="AM37" s="97">
        <f t="shared" si="72"/>
        <v>0</v>
      </c>
      <c r="AN37" s="117">
        <f ca="1">SUMIF(AY69:BB74,AJ37,BC69:BE74)</f>
        <v>0</v>
      </c>
      <c r="AO37" s="118"/>
      <c r="AP37" s="118">
        <f t="shared" si="73"/>
        <v>0</v>
      </c>
      <c r="AQ37" s="119">
        <f ca="1">AN37/SUM(AN35:AN37)</f>
        <v>0</v>
      </c>
      <c r="AR37" s="97"/>
      <c r="AS37" s="97"/>
      <c r="AT37" s="3"/>
      <c r="AU37" s="3"/>
      <c r="AV37" s="3"/>
      <c r="AW37" s="3"/>
      <c r="AX37" s="3"/>
      <c r="AY37" s="3"/>
      <c r="AZ37" s="3"/>
      <c r="BA37" s="3"/>
      <c r="BB37" s="3"/>
      <c r="BC37" s="3"/>
      <c r="BD37" s="3"/>
      <c r="BE37" s="3"/>
      <c r="BF37" s="3"/>
      <c r="BG37" s="3"/>
      <c r="BH37" s="15"/>
    </row>
    <row r="38" spans="2:73" ht="16.149999999999999" customHeight="1">
      <c r="B38" s="18"/>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19"/>
    </row>
    <row r="39" spans="2:73" ht="16.5" customHeight="1">
      <c r="B39" s="43" t="s">
        <v>107</v>
      </c>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2" t="s">
        <v>100</v>
      </c>
    </row>
    <row r="40" spans="2:73" ht="16.5" customHeight="1"/>
    <row r="41" spans="2:73" ht="18" customHeight="1">
      <c r="B41" s="127" t="s">
        <v>10</v>
      </c>
      <c r="C41" s="127"/>
      <c r="D41" s="127"/>
      <c r="E41" s="127"/>
      <c r="F41" s="127"/>
      <c r="G41" s="127"/>
      <c r="H41" s="127"/>
      <c r="I41" s="127"/>
      <c r="J41" s="127"/>
      <c r="K41" s="127"/>
      <c r="L41" s="127"/>
      <c r="M41" s="48"/>
      <c r="N41" s="128" t="s">
        <v>12</v>
      </c>
      <c r="O41" s="129"/>
      <c r="P41" s="129"/>
      <c r="Q41" s="129"/>
      <c r="R41" s="129"/>
      <c r="S41" s="129"/>
      <c r="T41" s="129"/>
      <c r="U41" s="129"/>
      <c r="V41" s="129"/>
      <c r="W41" s="129"/>
      <c r="X41" s="130"/>
      <c r="Y41" s="49"/>
      <c r="Z41" s="128" t="s">
        <v>8</v>
      </c>
      <c r="AA41" s="129"/>
      <c r="AB41" s="129"/>
      <c r="AC41" s="129"/>
      <c r="AD41" s="129"/>
      <c r="AE41" s="129"/>
      <c r="AF41" s="129"/>
      <c r="AG41" s="129"/>
      <c r="AH41" s="129"/>
      <c r="AI41" s="129"/>
      <c r="AJ41" s="130"/>
      <c r="AK41" s="48"/>
      <c r="AL41" s="127" t="s">
        <v>9</v>
      </c>
      <c r="AM41" s="127"/>
      <c r="AN41" s="127"/>
      <c r="AO41" s="127"/>
      <c r="AP41" s="127"/>
      <c r="AQ41" s="127"/>
      <c r="AR41" s="127"/>
      <c r="AS41" s="127"/>
      <c r="AT41" s="127"/>
      <c r="AU41" s="127"/>
      <c r="AV41" s="127"/>
      <c r="AW41" s="48"/>
      <c r="AX41" s="127" t="s">
        <v>7</v>
      </c>
      <c r="AY41" s="127"/>
      <c r="AZ41" s="127"/>
      <c r="BA41" s="127"/>
      <c r="BB41" s="127"/>
      <c r="BC41" s="127"/>
      <c r="BD41" s="127"/>
      <c r="BE41" s="127"/>
      <c r="BF41" s="127"/>
      <c r="BG41" s="127"/>
      <c r="BH41" s="127"/>
      <c r="BU41" s="9"/>
    </row>
    <row r="42" spans="2:73" ht="18" customHeight="1">
      <c r="B42" s="123" t="s">
        <v>5</v>
      </c>
      <c r="C42" s="109" t="str">
        <f>金寧鄉!B2</f>
        <v>①吳炎成</v>
      </c>
      <c r="D42" s="102"/>
      <c r="E42" s="102"/>
      <c r="F42" s="102"/>
      <c r="G42" s="110">
        <f>金寧鄉!D2</f>
        <v>5</v>
      </c>
      <c r="H42" s="111"/>
      <c r="I42" s="112"/>
      <c r="J42" s="101">
        <f>G42/SUM(G$42:G$46)</f>
        <v>8.0906148867313909E-3</v>
      </c>
      <c r="K42" s="102"/>
      <c r="L42" s="102"/>
      <c r="M42" s="50">
        <f>IF(MAX(J$42:J$44)=J42,IF(J42&gt;=0.7,1,IF(J42&gt;=0.6,2,IF(J42&gt;=0.5,3,IF(J42&gt;=0.4,4,5)))),0)</f>
        <v>0</v>
      </c>
      <c r="N42" s="123" t="s">
        <v>16</v>
      </c>
      <c r="O42" s="109" t="str">
        <f>金城鎮!B2</f>
        <v>①吳炎成</v>
      </c>
      <c r="P42" s="102"/>
      <c r="Q42" s="102"/>
      <c r="R42" s="102">
        <f>金城鎮!D2</f>
        <v>16</v>
      </c>
      <c r="S42" s="110">
        <f>金城鎮!D2</f>
        <v>16</v>
      </c>
      <c r="T42" s="111"/>
      <c r="U42" s="112"/>
      <c r="V42" s="101">
        <f>S42/SUM(S$42:S$46)</f>
        <v>1.6736401673640166E-2</v>
      </c>
      <c r="W42" s="102"/>
      <c r="X42" s="102"/>
      <c r="Y42" s="51">
        <f>IF(MAX(V$42:V$44)=V42,IF(V42&gt;=0.7,1,IF(V42&gt;=0.6,2,IF(V42&gt;=0.5,3,IF(V42&gt;=0.4,4,5)))),0)</f>
        <v>0</v>
      </c>
      <c r="Z42" s="123" t="s">
        <v>79</v>
      </c>
      <c r="AA42" s="98" t="str">
        <f>金沙鎮!B2</f>
        <v>①吳炎成</v>
      </c>
      <c r="AB42" s="99"/>
      <c r="AC42" s="99"/>
      <c r="AD42" s="100">
        <f>金沙鎮!D2</f>
        <v>30</v>
      </c>
      <c r="AE42" s="110">
        <f>金沙鎮!D2</f>
        <v>30</v>
      </c>
      <c r="AF42" s="111"/>
      <c r="AG42" s="112"/>
      <c r="AH42" s="101">
        <f>AE42/SUM(AE$42:AE$46)</f>
        <v>2.9211295034079845E-2</v>
      </c>
      <c r="AI42" s="102"/>
      <c r="AJ42" s="102"/>
      <c r="AK42" s="50">
        <f>IF(MAX(AH$42:AH$44)=AH42,IF(AH42&gt;=0.7,1,IF(AH42&gt;=0.6,2,IF(AH42&gt;=0.5,3,IF(AH42&gt;=0.4,4,5)))),0)</f>
        <v>0</v>
      </c>
      <c r="AL42" s="123" t="s">
        <v>87</v>
      </c>
      <c r="AM42" s="98" t="str">
        <f>金湖鎮!B2</f>
        <v>①吳炎成</v>
      </c>
      <c r="AN42" s="99"/>
      <c r="AO42" s="99"/>
      <c r="AP42" s="100">
        <f>金湖鎮!D2</f>
        <v>22</v>
      </c>
      <c r="AQ42" s="110">
        <f>金湖鎮!D2</f>
        <v>22</v>
      </c>
      <c r="AR42" s="111"/>
      <c r="AS42" s="112"/>
      <c r="AT42" s="101">
        <f>AQ42/SUM(AQ$42:AQ$46)</f>
        <v>2.109300095877277E-2</v>
      </c>
      <c r="AU42" s="102"/>
      <c r="AV42" s="102"/>
      <c r="AW42" s="50">
        <f>IF(MAX(AT$42:AT$44)=AT42,IF(AT42&gt;=0.7,1,IF(AT42&gt;=0.6,2,IF(AT42&gt;=0.5,3,IF(AT42&gt;=0.4,4,5)))),0)</f>
        <v>0</v>
      </c>
      <c r="AX42" s="123" t="s">
        <v>24</v>
      </c>
      <c r="AY42" s="109" t="str">
        <f>烈嶼鄉!B2</f>
        <v>①吳炎成</v>
      </c>
      <c r="AZ42" s="102"/>
      <c r="BA42" s="102"/>
      <c r="BB42" s="102">
        <f>烈嶼鄉!D2</f>
        <v>9</v>
      </c>
      <c r="BC42" s="110">
        <f>烈嶼鄉!D2</f>
        <v>9</v>
      </c>
      <c r="BD42" s="111"/>
      <c r="BE42" s="112"/>
      <c r="BF42" s="101">
        <f>BC42/SUM(BC$42:BC$46)</f>
        <v>1.8442622950819672E-2</v>
      </c>
      <c r="BG42" s="102"/>
      <c r="BH42" s="102"/>
      <c r="BI42" s="39">
        <f>IF(MAX(BF$42:BF$44)=BF42,IF(BF42&gt;=0.7,1,IF(BF42&gt;=0.6,2,IF(BF42&gt;=0.5,3,IF(BF42&gt;=0.4,4,5)))),0)</f>
        <v>0</v>
      </c>
    </row>
    <row r="43" spans="2:73" ht="18" customHeight="1">
      <c r="B43" s="124"/>
      <c r="C43" s="109" t="str">
        <f>金寧鄉!B3</f>
        <v>②李炷烽</v>
      </c>
      <c r="D43" s="102"/>
      <c r="E43" s="102"/>
      <c r="F43" s="102"/>
      <c r="G43" s="110">
        <f>金寧鄉!D3</f>
        <v>485</v>
      </c>
      <c r="H43" s="111"/>
      <c r="I43" s="112"/>
      <c r="J43" s="101">
        <f>G43/SUM(G$42:G$46)</f>
        <v>0.78478964401294493</v>
      </c>
      <c r="K43" s="102"/>
      <c r="L43" s="102"/>
      <c r="M43" s="50">
        <f t="shared" ref="M43:M44" si="74">IF(MAX(J$42:J$44)=J43,IF(J43&gt;=0.7,1,IF(J43&gt;=0.6,2,IF(J43&gt;=0.5,3,IF(J43&gt;=0.4,4,5)))),0)</f>
        <v>1</v>
      </c>
      <c r="N43" s="124"/>
      <c r="O43" s="109" t="str">
        <f>金城鎮!B3</f>
        <v>②李炷烽</v>
      </c>
      <c r="P43" s="102"/>
      <c r="Q43" s="102"/>
      <c r="R43" s="102">
        <f>金城鎮!D3</f>
        <v>423</v>
      </c>
      <c r="S43" s="110">
        <f>金城鎮!D3</f>
        <v>423</v>
      </c>
      <c r="T43" s="111"/>
      <c r="U43" s="112"/>
      <c r="V43" s="101">
        <f>S43/SUM(S$42:S$46)</f>
        <v>0.44246861924686193</v>
      </c>
      <c r="W43" s="102"/>
      <c r="X43" s="102"/>
      <c r="Y43" s="51">
        <f t="shared" ref="Y43:Y44" si="75">IF(MAX(V$42:V$44)=V43,IF(V43&gt;=0.7,1,IF(V43&gt;=0.6,2,IF(V43&gt;=0.5,3,IF(V43&gt;=0.4,4,5)))),0)</f>
        <v>4</v>
      </c>
      <c r="Z43" s="124"/>
      <c r="AA43" s="98" t="str">
        <f>金沙鎮!B3</f>
        <v>②李炷烽</v>
      </c>
      <c r="AB43" s="99"/>
      <c r="AC43" s="99"/>
      <c r="AD43" s="100">
        <f>金沙鎮!D3</f>
        <v>558</v>
      </c>
      <c r="AE43" s="110">
        <f>金沙鎮!D3</f>
        <v>558</v>
      </c>
      <c r="AF43" s="111"/>
      <c r="AG43" s="112"/>
      <c r="AH43" s="101">
        <f>AE43/SUM(AE$42:AE$46)</f>
        <v>0.54333008763388513</v>
      </c>
      <c r="AI43" s="102"/>
      <c r="AJ43" s="102"/>
      <c r="AK43" s="50">
        <f t="shared" ref="AK43:AK44" si="76">IF(MAX(AH$42:AH$44)=AH43,IF(AH43&gt;=0.7,1,IF(AH43&gt;=0.6,2,IF(AH43&gt;=0.5,3,IF(AH43&gt;=0.4,4,5)))),0)</f>
        <v>3</v>
      </c>
      <c r="AL43" s="124"/>
      <c r="AM43" s="98" t="str">
        <f>金湖鎮!B3</f>
        <v>②李炷烽</v>
      </c>
      <c r="AN43" s="99"/>
      <c r="AO43" s="99"/>
      <c r="AP43" s="100">
        <f>金湖鎮!D3</f>
        <v>595</v>
      </c>
      <c r="AQ43" s="110">
        <f>金湖鎮!D3</f>
        <v>595</v>
      </c>
      <c r="AR43" s="111"/>
      <c r="AS43" s="112"/>
      <c r="AT43" s="101">
        <f>AQ43/SUM(AQ$42:AQ$46)</f>
        <v>0.57046979865771807</v>
      </c>
      <c r="AU43" s="102"/>
      <c r="AV43" s="102"/>
      <c r="AW43" s="50">
        <f t="shared" ref="AW43:AW44" si="77">IF(MAX(AT$42:AT$44)=AT43,IF(AT43&gt;=0.7,1,IF(AT43&gt;=0.6,2,IF(AT43&gt;=0.5,3,IF(AT43&gt;=0.4,4,5)))),0)</f>
        <v>3</v>
      </c>
      <c r="AX43" s="124"/>
      <c r="AY43" s="109" t="str">
        <f>烈嶼鄉!B3</f>
        <v>②李炷烽</v>
      </c>
      <c r="AZ43" s="102"/>
      <c r="BA43" s="102"/>
      <c r="BB43" s="102">
        <f>烈嶼鄉!D3</f>
        <v>291</v>
      </c>
      <c r="BC43" s="110">
        <f>烈嶼鄉!D3</f>
        <v>291</v>
      </c>
      <c r="BD43" s="111"/>
      <c r="BE43" s="112"/>
      <c r="BF43" s="101">
        <f>BC43/SUM(BC$42:BC$46)</f>
        <v>0.59631147540983609</v>
      </c>
      <c r="BG43" s="102"/>
      <c r="BH43" s="102"/>
      <c r="BI43" s="39">
        <f t="shared" ref="BI43:BI44" si="78">IF(MAX(BF$42:BF$44)=BF43,IF(BF43&gt;=0.7,1,IF(BF43&gt;=0.6,2,IF(BF43&gt;=0.5,3,IF(BF43&gt;=0.4,4,5)))),0)</f>
        <v>3</v>
      </c>
    </row>
    <row r="44" spans="2:73" ht="18" customHeight="1">
      <c r="B44" s="124"/>
      <c r="C44" s="109" t="str">
        <f>金寧鄉!B4</f>
        <v>③黃積軍</v>
      </c>
      <c r="D44" s="102"/>
      <c r="E44" s="102"/>
      <c r="F44" s="102"/>
      <c r="G44" s="110">
        <f>金寧鄉!D4</f>
        <v>5</v>
      </c>
      <c r="H44" s="111"/>
      <c r="I44" s="112"/>
      <c r="J44" s="101">
        <f>G44/SUM(G$42:G$46)</f>
        <v>8.0906148867313909E-3</v>
      </c>
      <c r="K44" s="102"/>
      <c r="L44" s="102"/>
      <c r="M44" s="50">
        <f t="shared" si="74"/>
        <v>0</v>
      </c>
      <c r="N44" s="124"/>
      <c r="O44" s="109" t="str">
        <f>金城鎮!B4</f>
        <v>③黃積軍</v>
      </c>
      <c r="P44" s="102"/>
      <c r="Q44" s="102"/>
      <c r="R44" s="102">
        <f>金城鎮!D4</f>
        <v>12</v>
      </c>
      <c r="S44" s="110">
        <f>金城鎮!D4</f>
        <v>12</v>
      </c>
      <c r="T44" s="111"/>
      <c r="U44" s="112"/>
      <c r="V44" s="101">
        <f>S44/SUM(S$42:S$46)</f>
        <v>1.2552301255230125E-2</v>
      </c>
      <c r="W44" s="102"/>
      <c r="X44" s="102"/>
      <c r="Y44" s="51">
        <f t="shared" si="75"/>
        <v>0</v>
      </c>
      <c r="Z44" s="124"/>
      <c r="AA44" s="98" t="str">
        <f>金沙鎮!B4</f>
        <v>③黃積軍</v>
      </c>
      <c r="AB44" s="99"/>
      <c r="AC44" s="99"/>
      <c r="AD44" s="100">
        <f>金沙鎮!D4</f>
        <v>17</v>
      </c>
      <c r="AE44" s="110">
        <f>金沙鎮!D4</f>
        <v>17</v>
      </c>
      <c r="AF44" s="111"/>
      <c r="AG44" s="112"/>
      <c r="AH44" s="101">
        <f>AE44/SUM(AE$42:AE$46)</f>
        <v>1.6553067185978577E-2</v>
      </c>
      <c r="AI44" s="102"/>
      <c r="AJ44" s="102"/>
      <c r="AK44" s="50">
        <f t="shared" si="76"/>
        <v>0</v>
      </c>
      <c r="AL44" s="124"/>
      <c r="AM44" s="98" t="str">
        <f>金湖鎮!B4</f>
        <v>③黃積軍</v>
      </c>
      <c r="AN44" s="99"/>
      <c r="AO44" s="99"/>
      <c r="AP44" s="100">
        <f>金湖鎮!D4</f>
        <v>14</v>
      </c>
      <c r="AQ44" s="110">
        <f>金湖鎮!D4</f>
        <v>14</v>
      </c>
      <c r="AR44" s="111"/>
      <c r="AS44" s="112"/>
      <c r="AT44" s="101">
        <f>AQ44/SUM(AQ$42:AQ$46)</f>
        <v>1.3422818791946308E-2</v>
      </c>
      <c r="AU44" s="102"/>
      <c r="AV44" s="102"/>
      <c r="AW44" s="50">
        <f t="shared" si="77"/>
        <v>0</v>
      </c>
      <c r="AX44" s="124"/>
      <c r="AY44" s="109" t="str">
        <f>烈嶼鄉!B4</f>
        <v>③黃積軍</v>
      </c>
      <c r="AZ44" s="102"/>
      <c r="BA44" s="102"/>
      <c r="BB44" s="102">
        <f>烈嶼鄉!D4</f>
        <v>6</v>
      </c>
      <c r="BC44" s="110">
        <f>烈嶼鄉!D4</f>
        <v>6</v>
      </c>
      <c r="BD44" s="111"/>
      <c r="BE44" s="112"/>
      <c r="BF44" s="101">
        <f>BC44/SUM(BC$42:BC$46)</f>
        <v>1.2295081967213115E-2</v>
      </c>
      <c r="BG44" s="102"/>
      <c r="BH44" s="102"/>
      <c r="BI44" s="39">
        <f t="shared" si="78"/>
        <v>0</v>
      </c>
    </row>
    <row r="45" spans="2:73" ht="18" customHeight="1">
      <c r="B45" s="125"/>
      <c r="C45" s="109" t="str">
        <f>金寧鄉!B5</f>
        <v>④楊肅元</v>
      </c>
      <c r="D45" s="102"/>
      <c r="E45" s="102"/>
      <c r="F45" s="102"/>
      <c r="G45" s="110">
        <f>金寧鄉!D5</f>
        <v>63</v>
      </c>
      <c r="H45" s="111"/>
      <c r="I45" s="112"/>
      <c r="J45" s="101">
        <f>G45/SUM(G$42:G$46)</f>
        <v>0.10194174757281553</v>
      </c>
      <c r="K45" s="102"/>
      <c r="L45" s="102"/>
      <c r="M45" s="50">
        <f t="shared" ref="M45:M46" si="79">IF(MAX(J$42:J$44)=J45,IF(J45&gt;=0.7,1,IF(J45&gt;=0.6,2,IF(J45&gt;=0.5,3,IF(J45&gt;=0.4,4,5)))),0)</f>
        <v>0</v>
      </c>
      <c r="N45" s="125"/>
      <c r="O45" s="109" t="str">
        <f>金城鎮!B5</f>
        <v>④楊肅元</v>
      </c>
      <c r="P45" s="102"/>
      <c r="Q45" s="102"/>
      <c r="R45" s="102">
        <f>金城鎮!D5</f>
        <v>390</v>
      </c>
      <c r="S45" s="110">
        <f>金城鎮!D5</f>
        <v>390</v>
      </c>
      <c r="T45" s="111"/>
      <c r="U45" s="112"/>
      <c r="V45" s="101">
        <f>S45/SUM(S$42:S$46)</f>
        <v>0.40794979079497906</v>
      </c>
      <c r="W45" s="102"/>
      <c r="X45" s="102"/>
      <c r="Y45" s="51">
        <f t="shared" ref="Y45:Y46" si="80">IF(MAX(V$42:V$44)=V45,IF(V45&gt;=0.7,1,IF(V45&gt;=0.6,2,IF(V45&gt;=0.5,3,IF(V45&gt;=0.4,4,5)))),0)</f>
        <v>0</v>
      </c>
      <c r="Z45" s="125"/>
      <c r="AA45" s="98" t="str">
        <f>金沙鎮!B5</f>
        <v>④楊肅元</v>
      </c>
      <c r="AB45" s="99"/>
      <c r="AC45" s="99"/>
      <c r="AD45" s="100">
        <f>金沙鎮!D5</f>
        <v>271</v>
      </c>
      <c r="AE45" s="110">
        <f>金沙鎮!D5</f>
        <v>271</v>
      </c>
      <c r="AF45" s="111"/>
      <c r="AG45" s="112"/>
      <c r="AH45" s="101">
        <f>AE45/SUM(AE$42:AE$46)</f>
        <v>0.26387536514118792</v>
      </c>
      <c r="AI45" s="102"/>
      <c r="AJ45" s="102"/>
      <c r="AK45" s="50">
        <f t="shared" ref="AK45:AK46" si="81">IF(MAX(AH$42:AH$44)=AH45,IF(AH45&gt;=0.7,1,IF(AH45&gt;=0.6,2,IF(AH45&gt;=0.5,3,IF(AH45&gt;=0.4,4,5)))),0)</f>
        <v>0</v>
      </c>
      <c r="AL45" s="125"/>
      <c r="AM45" s="98" t="str">
        <f>金湖鎮!B5</f>
        <v>④楊肅元</v>
      </c>
      <c r="AN45" s="99"/>
      <c r="AO45" s="99"/>
      <c r="AP45" s="100">
        <f>金湖鎮!D5</f>
        <v>244</v>
      </c>
      <c r="AQ45" s="110">
        <f>金湖鎮!D5</f>
        <v>244</v>
      </c>
      <c r="AR45" s="111"/>
      <c r="AS45" s="112"/>
      <c r="AT45" s="101">
        <f>AQ45/SUM(AQ$42:AQ$46)</f>
        <v>0.2339405560882071</v>
      </c>
      <c r="AU45" s="102"/>
      <c r="AV45" s="102"/>
      <c r="AW45" s="50">
        <f t="shared" ref="AW45:AW46" si="82">IF(MAX(AT$42:AT$44)=AT45,IF(AT45&gt;=0.7,1,IF(AT45&gt;=0.6,2,IF(AT45&gt;=0.5,3,IF(AT45&gt;=0.4,4,5)))),0)</f>
        <v>0</v>
      </c>
      <c r="AX45" s="124"/>
      <c r="AY45" s="109" t="str">
        <f>烈嶼鄉!B5</f>
        <v>④楊肅元</v>
      </c>
      <c r="AZ45" s="102"/>
      <c r="BA45" s="102"/>
      <c r="BB45" s="102">
        <f>烈嶼鄉!D5</f>
        <v>91</v>
      </c>
      <c r="BC45" s="110">
        <f>烈嶼鄉!D5</f>
        <v>91</v>
      </c>
      <c r="BD45" s="111"/>
      <c r="BE45" s="112"/>
      <c r="BF45" s="101">
        <f>BC45/SUM(BC$42:BC$46)</f>
        <v>0.18647540983606559</v>
      </c>
      <c r="BG45" s="102"/>
      <c r="BH45" s="102"/>
      <c r="BI45" s="39">
        <f t="shared" ref="BI45:BI46" si="83">IF(MAX(BF$42:BF$44)=BF45,IF(BF45&gt;=0.7,1,IF(BF45&gt;=0.6,2,IF(BF45&gt;=0.5,3,IF(BF45&gt;=0.4,4,5)))),0)</f>
        <v>0</v>
      </c>
    </row>
    <row r="46" spans="2:73" ht="18" customHeight="1">
      <c r="B46" s="126"/>
      <c r="C46" s="109" t="str">
        <f>金寧鄉!B6</f>
        <v>⑤翟美玉</v>
      </c>
      <c r="D46" s="102"/>
      <c r="E46" s="102"/>
      <c r="F46" s="102"/>
      <c r="G46" s="110">
        <f>金寧鄉!D6</f>
        <v>60</v>
      </c>
      <c r="H46" s="111"/>
      <c r="I46" s="112"/>
      <c r="J46" s="101">
        <f>G46/SUM(G$42:G$46)</f>
        <v>9.7087378640776698E-2</v>
      </c>
      <c r="K46" s="102"/>
      <c r="L46" s="102"/>
      <c r="M46" s="50">
        <f t="shared" si="79"/>
        <v>0</v>
      </c>
      <c r="N46" s="126"/>
      <c r="O46" s="109" t="str">
        <f>金城鎮!B6</f>
        <v>⑤翟美玉</v>
      </c>
      <c r="P46" s="102"/>
      <c r="Q46" s="102"/>
      <c r="R46" s="102">
        <f>金城鎮!D6</f>
        <v>115</v>
      </c>
      <c r="S46" s="110">
        <f>金城鎮!D6</f>
        <v>115</v>
      </c>
      <c r="T46" s="111"/>
      <c r="U46" s="112"/>
      <c r="V46" s="101">
        <f>S46/SUM(S$42:S$46)</f>
        <v>0.1202928870292887</v>
      </c>
      <c r="W46" s="102"/>
      <c r="X46" s="102"/>
      <c r="Y46" s="51">
        <f t="shared" si="80"/>
        <v>0</v>
      </c>
      <c r="Z46" s="126"/>
      <c r="AA46" s="98" t="str">
        <f>金沙鎮!B6</f>
        <v>⑤翟美玉</v>
      </c>
      <c r="AB46" s="99"/>
      <c r="AC46" s="99"/>
      <c r="AD46" s="100">
        <f>金沙鎮!D6</f>
        <v>151</v>
      </c>
      <c r="AE46" s="110">
        <f>金沙鎮!D6</f>
        <v>151</v>
      </c>
      <c r="AF46" s="111"/>
      <c r="AG46" s="112"/>
      <c r="AH46" s="101">
        <f>AE46/SUM(AE$42:AE$46)</f>
        <v>0.14703018500486856</v>
      </c>
      <c r="AI46" s="102"/>
      <c r="AJ46" s="102"/>
      <c r="AK46" s="50">
        <f t="shared" si="81"/>
        <v>0</v>
      </c>
      <c r="AL46" s="126"/>
      <c r="AM46" s="98" t="str">
        <f>金湖鎮!B6</f>
        <v>⑤翟美玉</v>
      </c>
      <c r="AN46" s="99"/>
      <c r="AO46" s="99"/>
      <c r="AP46" s="100">
        <f>金湖鎮!D6</f>
        <v>168</v>
      </c>
      <c r="AQ46" s="110">
        <f>金湖鎮!D6</f>
        <v>168</v>
      </c>
      <c r="AR46" s="111"/>
      <c r="AS46" s="112"/>
      <c r="AT46" s="101">
        <f>AQ46/SUM(AQ$42:AQ$46)</f>
        <v>0.16107382550335569</v>
      </c>
      <c r="AU46" s="102"/>
      <c r="AV46" s="102"/>
      <c r="AW46" s="50">
        <f t="shared" si="82"/>
        <v>0</v>
      </c>
      <c r="AX46" s="166"/>
      <c r="AY46" s="109" t="str">
        <f>烈嶼鄉!B6</f>
        <v>⑤翟美玉</v>
      </c>
      <c r="AZ46" s="102"/>
      <c r="BA46" s="102"/>
      <c r="BB46" s="102">
        <f>烈嶼鄉!D6</f>
        <v>91</v>
      </c>
      <c r="BC46" s="110">
        <f>烈嶼鄉!D6</f>
        <v>91</v>
      </c>
      <c r="BD46" s="111"/>
      <c r="BE46" s="112"/>
      <c r="BF46" s="101">
        <f>BC46/SUM(BC$42:BC$46)</f>
        <v>0.18647540983606559</v>
      </c>
      <c r="BG46" s="102"/>
      <c r="BH46" s="102"/>
      <c r="BI46" s="39">
        <f t="shared" si="83"/>
        <v>0</v>
      </c>
    </row>
    <row r="47" spans="2:73" ht="18" customHeight="1">
      <c r="B47" s="167" t="s">
        <v>11</v>
      </c>
      <c r="C47" s="103" t="str">
        <f>金寧鄉!B7</f>
        <v>①吳炎成</v>
      </c>
      <c r="D47" s="104"/>
      <c r="E47" s="104"/>
      <c r="F47" s="104"/>
      <c r="G47" s="105">
        <f>金寧鄉!D7</f>
        <v>14</v>
      </c>
      <c r="H47" s="111"/>
      <c r="I47" s="112"/>
      <c r="J47" s="120">
        <f>G47/SUM(G$47:G$51)</f>
        <v>1.7834394904458598E-2</v>
      </c>
      <c r="K47" s="121"/>
      <c r="L47" s="122"/>
      <c r="M47" s="50">
        <f>IF(MAX(J$47:J$49)=J47,IF(J47&gt;=0.7,1,IF(J47&gt;=0.6,2,IF(J47&gt;=0.5,3,IF(J47&gt;=0.4,4,5)))),0)</f>
        <v>0</v>
      </c>
      <c r="N47" s="167" t="s">
        <v>17</v>
      </c>
      <c r="O47" s="103" t="str">
        <f>金城鎮!B7</f>
        <v>①吳炎成</v>
      </c>
      <c r="P47" s="104"/>
      <c r="Q47" s="104"/>
      <c r="R47" s="104">
        <f>金城鎮!D7</f>
        <v>24</v>
      </c>
      <c r="S47" s="105">
        <f>金城鎮!D7</f>
        <v>24</v>
      </c>
      <c r="T47" s="106"/>
      <c r="U47" s="107"/>
      <c r="V47" s="108">
        <f>S47/SUM(S$47:S$51)</f>
        <v>1.4226437462951986E-2</v>
      </c>
      <c r="W47" s="104"/>
      <c r="X47" s="104"/>
      <c r="Y47" s="51">
        <f>IF(MAX(V$47:V$49)=V47,IF(V47&gt;=0.7,1,IF(V47&gt;=0.6,2,IF(V47&gt;=0.5,3,IF(V47&gt;=0.4,4,5)))),0)</f>
        <v>0</v>
      </c>
      <c r="Z47" s="167" t="s">
        <v>80</v>
      </c>
      <c r="AA47" s="113" t="str">
        <f>金沙鎮!B7</f>
        <v>①吳炎成</v>
      </c>
      <c r="AB47" s="114"/>
      <c r="AC47" s="114"/>
      <c r="AD47" s="115">
        <f>金沙鎮!D7</f>
        <v>11</v>
      </c>
      <c r="AE47" s="105">
        <f>金沙鎮!D7</f>
        <v>11</v>
      </c>
      <c r="AF47" s="106"/>
      <c r="AG47" s="107"/>
      <c r="AH47" s="108">
        <f>AE47/SUM(AE$47:AE$51)</f>
        <v>3.0985915492957747E-2</v>
      </c>
      <c r="AI47" s="104"/>
      <c r="AJ47" s="104"/>
      <c r="AK47" s="50">
        <f>IF(MAX(AH$47:AH$49)=AH47,IF(AH47&gt;=0.7,1,IF(AH47&gt;=0.6,2,IF(AH47&gt;=0.5,3,IF(AH47&gt;=0.4,4,5)))),0)</f>
        <v>0</v>
      </c>
      <c r="AL47" s="167" t="s">
        <v>88</v>
      </c>
      <c r="AM47" s="113" t="str">
        <f>金湖鎮!B7</f>
        <v>①吳炎成</v>
      </c>
      <c r="AN47" s="114"/>
      <c r="AO47" s="114"/>
      <c r="AP47" s="115">
        <f>金湖鎮!D7</f>
        <v>24</v>
      </c>
      <c r="AQ47" s="105">
        <f>金湖鎮!D7</f>
        <v>24</v>
      </c>
      <c r="AR47" s="106"/>
      <c r="AS47" s="107"/>
      <c r="AT47" s="108">
        <f>AQ47/SUM(AQ$47:AQ$51)</f>
        <v>3.2476319350473612E-2</v>
      </c>
      <c r="AU47" s="104"/>
      <c r="AV47" s="104"/>
      <c r="AW47" s="50">
        <f>IF(MAX(AT$47:AT$49)=AT47,IF(AT47&gt;=0.7,1,IF(AT47&gt;=0.6,2,IF(AT47&gt;=0.5,3,IF(AT47&gt;=0.4,4,5)))),0)</f>
        <v>0</v>
      </c>
      <c r="AX47" s="167" t="s">
        <v>25</v>
      </c>
      <c r="AY47" s="103" t="str">
        <f>烈嶼鄉!B7</f>
        <v>①吳炎成</v>
      </c>
      <c r="AZ47" s="104"/>
      <c r="BA47" s="104"/>
      <c r="BB47" s="104">
        <f>烈嶼鄉!D7</f>
        <v>1</v>
      </c>
      <c r="BC47" s="105">
        <f>烈嶼鄉!D7</f>
        <v>1</v>
      </c>
      <c r="BD47" s="106"/>
      <c r="BE47" s="107"/>
      <c r="BF47" s="108">
        <f>BC47/SUM(BC$47:BC$51)</f>
        <v>4.2918454935622317E-3</v>
      </c>
      <c r="BG47" s="104"/>
      <c r="BH47" s="104"/>
      <c r="BI47" s="39">
        <f>IF(MAX(BF$47:BF$49)=BF47,IF(BF47&gt;=0.7,1,IF(BF47&gt;=0.6,2,IF(BF47&gt;=0.5,3,IF(BF47&gt;=0.4,4,5)))),0)</f>
        <v>0</v>
      </c>
    </row>
    <row r="48" spans="2:73" ht="18" customHeight="1">
      <c r="B48" s="124"/>
      <c r="C48" s="103" t="str">
        <f>金寧鄉!B8</f>
        <v>②李炷烽</v>
      </c>
      <c r="D48" s="104"/>
      <c r="E48" s="104"/>
      <c r="F48" s="104"/>
      <c r="G48" s="105">
        <f>金寧鄉!D8</f>
        <v>321</v>
      </c>
      <c r="H48" s="111"/>
      <c r="I48" s="112"/>
      <c r="J48" s="120">
        <f t="shared" ref="J48:J51" si="84">G48/SUM(G$47:G$51)</f>
        <v>0.40891719745222932</v>
      </c>
      <c r="K48" s="121"/>
      <c r="L48" s="122"/>
      <c r="M48" s="50">
        <f t="shared" ref="M48:M49" si="85">IF(MAX(J$47:J$49)=J48,IF(J48&gt;=0.7,1,IF(J48&gt;=0.6,2,IF(J48&gt;=0.5,3,IF(J48&gt;=0.4,4,5)))),0)</f>
        <v>4</v>
      </c>
      <c r="N48" s="124"/>
      <c r="O48" s="103" t="str">
        <f>金城鎮!B8</f>
        <v>②李炷烽</v>
      </c>
      <c r="P48" s="104"/>
      <c r="Q48" s="104"/>
      <c r="R48" s="104">
        <f>金城鎮!D8</f>
        <v>895</v>
      </c>
      <c r="S48" s="105">
        <f>金城鎮!D8</f>
        <v>895</v>
      </c>
      <c r="T48" s="106"/>
      <c r="U48" s="107"/>
      <c r="V48" s="108">
        <f t="shared" ref="V48:V51" si="86">S48/SUM(S$47:S$51)</f>
        <v>0.53052756372258447</v>
      </c>
      <c r="W48" s="104"/>
      <c r="X48" s="104"/>
      <c r="Y48" s="51">
        <f t="shared" ref="Y48:Y49" si="87">IF(MAX(V$47:V$49)=V48,IF(V48&gt;=0.7,1,IF(V48&gt;=0.6,2,IF(V48&gt;=0.5,3,IF(V48&gt;=0.4,4,5)))),0)</f>
        <v>3</v>
      </c>
      <c r="Z48" s="124"/>
      <c r="AA48" s="113" t="str">
        <f>金沙鎮!B8</f>
        <v>②李炷烽</v>
      </c>
      <c r="AB48" s="114"/>
      <c r="AC48" s="114"/>
      <c r="AD48" s="115">
        <f>金沙鎮!D8</f>
        <v>216</v>
      </c>
      <c r="AE48" s="105">
        <f>金沙鎮!D8</f>
        <v>216</v>
      </c>
      <c r="AF48" s="106"/>
      <c r="AG48" s="107"/>
      <c r="AH48" s="108">
        <f t="shared" ref="AH48:AH51" si="88">AE48/SUM(AE$47:AE$51)</f>
        <v>0.60845070422535208</v>
      </c>
      <c r="AI48" s="104"/>
      <c r="AJ48" s="104"/>
      <c r="AK48" s="50">
        <f t="shared" ref="AK48:AK49" si="89">IF(MAX(AH$47:AH$49)=AH48,IF(AH48&gt;=0.7,1,IF(AH48&gt;=0.6,2,IF(AH48&gt;=0.5,3,IF(AH48&gt;=0.4,4,5)))),0)</f>
        <v>2</v>
      </c>
      <c r="AL48" s="124"/>
      <c r="AM48" s="113" t="str">
        <f>金湖鎮!B8</f>
        <v>②李炷烽</v>
      </c>
      <c r="AN48" s="114"/>
      <c r="AO48" s="114"/>
      <c r="AP48" s="115">
        <f>金湖鎮!D8</f>
        <v>381</v>
      </c>
      <c r="AQ48" s="105">
        <f>金湖鎮!D8</f>
        <v>381</v>
      </c>
      <c r="AR48" s="106"/>
      <c r="AS48" s="107"/>
      <c r="AT48" s="108">
        <f t="shared" ref="AT48:AT51" si="90">AQ48/SUM(AQ$47:AQ$51)</f>
        <v>0.51556156968876865</v>
      </c>
      <c r="AU48" s="104"/>
      <c r="AV48" s="104"/>
      <c r="AW48" s="50">
        <f t="shared" ref="AW48:AW49" si="91">IF(MAX(AT$47:AT$49)=AT48,IF(AT48&gt;=0.7,1,IF(AT48&gt;=0.6,2,IF(AT48&gt;=0.5,3,IF(AT48&gt;=0.4,4,5)))),0)</f>
        <v>3</v>
      </c>
      <c r="AX48" s="124"/>
      <c r="AY48" s="103" t="str">
        <f>烈嶼鄉!B8</f>
        <v>②李炷烽</v>
      </c>
      <c r="AZ48" s="104"/>
      <c r="BA48" s="104"/>
      <c r="BB48" s="104">
        <f>烈嶼鄉!D8</f>
        <v>141</v>
      </c>
      <c r="BC48" s="105">
        <f>烈嶼鄉!D8</f>
        <v>141</v>
      </c>
      <c r="BD48" s="106"/>
      <c r="BE48" s="107"/>
      <c r="BF48" s="108">
        <f t="shared" ref="BF48:BF51" si="92">BC48/SUM(BC$47:BC$51)</f>
        <v>0.60515021459227469</v>
      </c>
      <c r="BG48" s="104"/>
      <c r="BH48" s="104"/>
      <c r="BI48" s="39">
        <f t="shared" ref="BI48:BI49" si="93">IF(MAX(BF$47:BF$49)=BF48,IF(BF48&gt;=0.7,1,IF(BF48&gt;=0.6,2,IF(BF48&gt;=0.5,3,IF(BF48&gt;=0.4,4,5)))),0)</f>
        <v>2</v>
      </c>
    </row>
    <row r="49" spans="2:61" ht="18" customHeight="1">
      <c r="B49" s="124"/>
      <c r="C49" s="103" t="str">
        <f>金寧鄉!B9</f>
        <v>③黃積軍</v>
      </c>
      <c r="D49" s="104"/>
      <c r="E49" s="104"/>
      <c r="F49" s="104"/>
      <c r="G49" s="105">
        <f>金寧鄉!D9</f>
        <v>8</v>
      </c>
      <c r="H49" s="111"/>
      <c r="I49" s="112"/>
      <c r="J49" s="120">
        <f t="shared" si="84"/>
        <v>1.019108280254777E-2</v>
      </c>
      <c r="K49" s="121"/>
      <c r="L49" s="122"/>
      <c r="M49" s="50">
        <f t="shared" si="85"/>
        <v>0</v>
      </c>
      <c r="N49" s="124"/>
      <c r="O49" s="103" t="str">
        <f>金城鎮!B9</f>
        <v>③黃積軍</v>
      </c>
      <c r="P49" s="104"/>
      <c r="Q49" s="104"/>
      <c r="R49" s="104">
        <f>金城鎮!D9</f>
        <v>19</v>
      </c>
      <c r="S49" s="105">
        <f>金城鎮!D9</f>
        <v>19</v>
      </c>
      <c r="T49" s="106"/>
      <c r="U49" s="107"/>
      <c r="V49" s="108">
        <f t="shared" si="86"/>
        <v>1.1262596324836989E-2</v>
      </c>
      <c r="W49" s="104"/>
      <c r="X49" s="104"/>
      <c r="Y49" s="51">
        <f t="shared" si="87"/>
        <v>0</v>
      </c>
      <c r="Z49" s="124"/>
      <c r="AA49" s="113" t="str">
        <f>金沙鎮!B9</f>
        <v>③黃積軍</v>
      </c>
      <c r="AB49" s="114"/>
      <c r="AC49" s="114"/>
      <c r="AD49" s="115">
        <f>金沙鎮!D9</f>
        <v>6</v>
      </c>
      <c r="AE49" s="105">
        <f>金沙鎮!D9</f>
        <v>6</v>
      </c>
      <c r="AF49" s="106"/>
      <c r="AG49" s="107"/>
      <c r="AH49" s="108">
        <f t="shared" si="88"/>
        <v>1.6901408450704224E-2</v>
      </c>
      <c r="AI49" s="104"/>
      <c r="AJ49" s="104"/>
      <c r="AK49" s="50">
        <f t="shared" si="89"/>
        <v>0</v>
      </c>
      <c r="AL49" s="124"/>
      <c r="AM49" s="113" t="str">
        <f>金湖鎮!B9</f>
        <v>③黃積軍</v>
      </c>
      <c r="AN49" s="114"/>
      <c r="AO49" s="114"/>
      <c r="AP49" s="115">
        <f>金湖鎮!D9</f>
        <v>7</v>
      </c>
      <c r="AQ49" s="105">
        <f>金湖鎮!D9</f>
        <v>7</v>
      </c>
      <c r="AR49" s="106"/>
      <c r="AS49" s="107"/>
      <c r="AT49" s="108">
        <f t="shared" si="90"/>
        <v>9.4722598105548041E-3</v>
      </c>
      <c r="AU49" s="104"/>
      <c r="AV49" s="104"/>
      <c r="AW49" s="50">
        <f t="shared" si="91"/>
        <v>0</v>
      </c>
      <c r="AX49" s="124"/>
      <c r="AY49" s="103" t="str">
        <f>烈嶼鄉!B9</f>
        <v>③黃積軍</v>
      </c>
      <c r="AZ49" s="104"/>
      <c r="BA49" s="104"/>
      <c r="BB49" s="104">
        <f>烈嶼鄉!D9</f>
        <v>2</v>
      </c>
      <c r="BC49" s="105">
        <f>烈嶼鄉!D9</f>
        <v>2</v>
      </c>
      <c r="BD49" s="106"/>
      <c r="BE49" s="107"/>
      <c r="BF49" s="108">
        <f t="shared" si="92"/>
        <v>8.5836909871244635E-3</v>
      </c>
      <c r="BG49" s="104"/>
      <c r="BH49" s="104"/>
      <c r="BI49" s="39">
        <f t="shared" si="93"/>
        <v>0</v>
      </c>
    </row>
    <row r="50" spans="2:61" ht="18" customHeight="1">
      <c r="B50" s="125"/>
      <c r="C50" s="103" t="str">
        <f>金寧鄉!B10</f>
        <v>④楊肅元</v>
      </c>
      <c r="D50" s="104"/>
      <c r="E50" s="104"/>
      <c r="F50" s="104"/>
      <c r="G50" s="105">
        <f>金寧鄉!D10</f>
        <v>302</v>
      </c>
      <c r="H50" s="111"/>
      <c r="I50" s="112"/>
      <c r="J50" s="120">
        <f t="shared" si="84"/>
        <v>0.38471337579617837</v>
      </c>
      <c r="K50" s="121"/>
      <c r="L50" s="122"/>
      <c r="M50" s="50">
        <f t="shared" ref="M50:M51" si="94">IF(MAX(J$47:J$49)=J50,IF(J50&gt;=0.7,1,IF(J50&gt;=0.6,2,IF(J50&gt;=0.5,3,IF(J50&gt;=0.4,4,5)))),0)</f>
        <v>0</v>
      </c>
      <c r="N50" s="125"/>
      <c r="O50" s="103" t="str">
        <f>金城鎮!B10</f>
        <v>④楊肅元</v>
      </c>
      <c r="P50" s="104"/>
      <c r="Q50" s="104"/>
      <c r="R50" s="104">
        <f>金城鎮!D10</f>
        <v>351</v>
      </c>
      <c r="S50" s="105">
        <f>金城鎮!D10</f>
        <v>351</v>
      </c>
      <c r="T50" s="106"/>
      <c r="U50" s="107"/>
      <c r="V50" s="108">
        <f t="shared" si="86"/>
        <v>0.2080616478956728</v>
      </c>
      <c r="W50" s="104"/>
      <c r="X50" s="104"/>
      <c r="Y50" s="51">
        <f t="shared" ref="Y50:Y51" si="95">IF(MAX(V$47:V$49)=V50,IF(V50&gt;=0.7,1,IF(V50&gt;=0.6,2,IF(V50&gt;=0.5,3,IF(V50&gt;=0.4,4,5)))),0)</f>
        <v>0</v>
      </c>
      <c r="Z50" s="125"/>
      <c r="AA50" s="113" t="str">
        <f>金沙鎮!B10</f>
        <v>④楊肅元</v>
      </c>
      <c r="AB50" s="114"/>
      <c r="AC50" s="114"/>
      <c r="AD50" s="115">
        <f>金沙鎮!D10</f>
        <v>40</v>
      </c>
      <c r="AE50" s="105">
        <f>金沙鎮!D10</f>
        <v>40</v>
      </c>
      <c r="AF50" s="106"/>
      <c r="AG50" s="107"/>
      <c r="AH50" s="108">
        <f t="shared" si="88"/>
        <v>0.11267605633802817</v>
      </c>
      <c r="AI50" s="104"/>
      <c r="AJ50" s="104"/>
      <c r="AK50" s="50">
        <f t="shared" ref="AK50:AK51" si="96">IF(MAX(AH$47:AH$49)=AH50,IF(AH50&gt;=0.7,1,IF(AH50&gt;=0.6,2,IF(AH50&gt;=0.5,3,IF(AH50&gt;=0.4,4,5)))),0)</f>
        <v>0</v>
      </c>
      <c r="AL50" s="125"/>
      <c r="AM50" s="113" t="str">
        <f>金湖鎮!B10</f>
        <v>④楊肅元</v>
      </c>
      <c r="AN50" s="114"/>
      <c r="AO50" s="114"/>
      <c r="AP50" s="115">
        <f>金湖鎮!D10</f>
        <v>125</v>
      </c>
      <c r="AQ50" s="105">
        <f>金湖鎮!D10</f>
        <v>125</v>
      </c>
      <c r="AR50" s="106"/>
      <c r="AS50" s="107"/>
      <c r="AT50" s="108">
        <f t="shared" si="90"/>
        <v>0.16914749661705006</v>
      </c>
      <c r="AU50" s="104"/>
      <c r="AV50" s="104"/>
      <c r="AW50" s="50">
        <f t="shared" ref="AW50:AW51" si="97">IF(MAX(AT$47:AT$49)=AT50,IF(AT50&gt;=0.7,1,IF(AT50&gt;=0.6,2,IF(AT50&gt;=0.5,3,IF(AT50&gt;=0.4,4,5)))),0)</f>
        <v>0</v>
      </c>
      <c r="AX50" s="124"/>
      <c r="AY50" s="103" t="str">
        <f>烈嶼鄉!B10</f>
        <v>④楊肅元</v>
      </c>
      <c r="AZ50" s="104"/>
      <c r="BA50" s="104"/>
      <c r="BB50" s="104">
        <f>烈嶼鄉!D10</f>
        <v>18</v>
      </c>
      <c r="BC50" s="105">
        <f>烈嶼鄉!D10</f>
        <v>18</v>
      </c>
      <c r="BD50" s="106"/>
      <c r="BE50" s="107"/>
      <c r="BF50" s="108">
        <f t="shared" si="92"/>
        <v>7.7253218884120178E-2</v>
      </c>
      <c r="BG50" s="104"/>
      <c r="BH50" s="104"/>
      <c r="BI50" s="39">
        <f t="shared" ref="BI50:BI51" si="98">IF(MAX(BF$47:BF$49)=BF50,IF(BF50&gt;=0.7,1,IF(BF50&gt;=0.6,2,IF(BF50&gt;=0.5,3,IF(BF50&gt;=0.4,4,5)))),0)</f>
        <v>0</v>
      </c>
    </row>
    <row r="51" spans="2:61" ht="18" customHeight="1">
      <c r="B51" s="126"/>
      <c r="C51" s="103" t="str">
        <f>金寧鄉!B11</f>
        <v>⑤翟美玉</v>
      </c>
      <c r="D51" s="104"/>
      <c r="E51" s="104"/>
      <c r="F51" s="104"/>
      <c r="G51" s="105">
        <f>金寧鄉!D11</f>
        <v>140</v>
      </c>
      <c r="H51" s="111"/>
      <c r="I51" s="112"/>
      <c r="J51" s="120">
        <f t="shared" si="84"/>
        <v>0.17834394904458598</v>
      </c>
      <c r="K51" s="121"/>
      <c r="L51" s="122"/>
      <c r="M51" s="50">
        <f t="shared" si="94"/>
        <v>0</v>
      </c>
      <c r="N51" s="126"/>
      <c r="O51" s="103" t="str">
        <f>金城鎮!B11</f>
        <v>⑤翟美玉</v>
      </c>
      <c r="P51" s="104"/>
      <c r="Q51" s="104"/>
      <c r="R51" s="104">
        <f>金城鎮!D11</f>
        <v>398</v>
      </c>
      <c r="S51" s="105">
        <f>金城鎮!D11</f>
        <v>398</v>
      </c>
      <c r="T51" s="106"/>
      <c r="U51" s="107"/>
      <c r="V51" s="108">
        <f t="shared" si="86"/>
        <v>0.23592175459395376</v>
      </c>
      <c r="W51" s="104"/>
      <c r="X51" s="104"/>
      <c r="Y51" s="51">
        <f t="shared" si="95"/>
        <v>0</v>
      </c>
      <c r="Z51" s="126"/>
      <c r="AA51" s="113" t="str">
        <f>金沙鎮!B11</f>
        <v>⑤翟美玉</v>
      </c>
      <c r="AB51" s="114"/>
      <c r="AC51" s="114"/>
      <c r="AD51" s="115">
        <f>金沙鎮!D11</f>
        <v>82</v>
      </c>
      <c r="AE51" s="105">
        <f>金沙鎮!D11</f>
        <v>82</v>
      </c>
      <c r="AF51" s="106"/>
      <c r="AG51" s="107"/>
      <c r="AH51" s="108">
        <f t="shared" si="88"/>
        <v>0.23098591549295774</v>
      </c>
      <c r="AI51" s="104"/>
      <c r="AJ51" s="104"/>
      <c r="AK51" s="50">
        <f t="shared" si="96"/>
        <v>0</v>
      </c>
      <c r="AL51" s="126"/>
      <c r="AM51" s="113" t="str">
        <f>金湖鎮!B11</f>
        <v>⑤翟美玉</v>
      </c>
      <c r="AN51" s="114"/>
      <c r="AO51" s="114"/>
      <c r="AP51" s="115">
        <f>金湖鎮!D11</f>
        <v>202</v>
      </c>
      <c r="AQ51" s="105">
        <f>金湖鎮!D11</f>
        <v>202</v>
      </c>
      <c r="AR51" s="106"/>
      <c r="AS51" s="107"/>
      <c r="AT51" s="108">
        <f t="shared" si="90"/>
        <v>0.27334235453315292</v>
      </c>
      <c r="AU51" s="104"/>
      <c r="AV51" s="104"/>
      <c r="AW51" s="50">
        <f t="shared" si="97"/>
        <v>0</v>
      </c>
      <c r="AX51" s="166"/>
      <c r="AY51" s="103" t="str">
        <f>烈嶼鄉!B11</f>
        <v>⑤翟美玉</v>
      </c>
      <c r="AZ51" s="104"/>
      <c r="BA51" s="104"/>
      <c r="BB51" s="104">
        <f>烈嶼鄉!D11</f>
        <v>71</v>
      </c>
      <c r="BC51" s="105">
        <f>烈嶼鄉!D11</f>
        <v>71</v>
      </c>
      <c r="BD51" s="106"/>
      <c r="BE51" s="107"/>
      <c r="BF51" s="108">
        <f t="shared" si="92"/>
        <v>0.30472103004291845</v>
      </c>
      <c r="BG51" s="104"/>
      <c r="BH51" s="104"/>
      <c r="BI51" s="39">
        <f t="shared" si="98"/>
        <v>0</v>
      </c>
    </row>
    <row r="52" spans="2:61" ht="18" customHeight="1">
      <c r="B52" s="123" t="s">
        <v>13</v>
      </c>
      <c r="C52" s="109" t="str">
        <f>金寧鄉!B12</f>
        <v>①吳炎成</v>
      </c>
      <c r="D52" s="102"/>
      <c r="E52" s="102"/>
      <c r="F52" s="102"/>
      <c r="G52" s="110">
        <f>金寧鄉!D12</f>
        <v>8</v>
      </c>
      <c r="H52" s="111"/>
      <c r="I52" s="112"/>
      <c r="J52" s="101">
        <f>G52/SUM(G$52:G$56)</f>
        <v>3.1746031746031744E-2</v>
      </c>
      <c r="K52" s="102"/>
      <c r="L52" s="102"/>
      <c r="M52" s="50">
        <f>IF(MAX(J$52:J$54)=J52,IF(J52&gt;=0.7,1,IF(J52&gt;=0.6,2,IF(J52&gt;=0.5,3,IF(J52&gt;=0.4,4,5)))),0)</f>
        <v>0</v>
      </c>
      <c r="N52" s="123" t="s">
        <v>18</v>
      </c>
      <c r="O52" s="109" t="str">
        <f>金城鎮!B12</f>
        <v>①吳炎成</v>
      </c>
      <c r="P52" s="102"/>
      <c r="Q52" s="102"/>
      <c r="R52" s="102">
        <f>金城鎮!D12</f>
        <v>24</v>
      </c>
      <c r="S52" s="110">
        <f>金城鎮!D12</f>
        <v>24</v>
      </c>
      <c r="T52" s="111"/>
      <c r="U52" s="112"/>
      <c r="V52" s="101">
        <f>S52/SUM(S$52:S$56)</f>
        <v>1.9093078758949882E-2</v>
      </c>
      <c r="W52" s="102"/>
      <c r="X52" s="102"/>
      <c r="Y52" s="51">
        <f>IF(MAX(V$52:V$54)=V52,IF(V52&gt;=0.7,1,IF(V52&gt;=0.6,2,IF(V52&gt;=0.5,3,IF(V52&gt;=0.4,4,5)))),0)</f>
        <v>0</v>
      </c>
      <c r="Z52" s="123" t="s">
        <v>81</v>
      </c>
      <c r="AA52" s="98" t="str">
        <f>金沙鎮!B12</f>
        <v>①吳炎成</v>
      </c>
      <c r="AB52" s="99"/>
      <c r="AC52" s="99"/>
      <c r="AD52" s="100">
        <f>金沙鎮!D12</f>
        <v>12</v>
      </c>
      <c r="AE52" s="110">
        <f>金沙鎮!D12</f>
        <v>12</v>
      </c>
      <c r="AF52" s="111"/>
      <c r="AG52" s="112"/>
      <c r="AH52" s="101">
        <f>AE52/SUM(AE$52:AE$56)</f>
        <v>5.106382978723404E-2</v>
      </c>
      <c r="AI52" s="102"/>
      <c r="AJ52" s="102"/>
      <c r="AK52" s="50">
        <f>IF(MAX(AH$52:AH$54)=AH52,IF(AH52&gt;=0.7,1,IF(AH52&gt;=0.6,2,IF(AH52&gt;=0.5,3,IF(AH52&gt;=0.4,4,5)))),0)</f>
        <v>0</v>
      </c>
      <c r="AL52" s="123" t="s">
        <v>89</v>
      </c>
      <c r="AM52" s="98" t="str">
        <f>金湖鎮!B12</f>
        <v>①吳炎成</v>
      </c>
      <c r="AN52" s="99"/>
      <c r="AO52" s="99"/>
      <c r="AP52" s="100">
        <f>金湖鎮!D12</f>
        <v>15</v>
      </c>
      <c r="AQ52" s="110">
        <f>金湖鎮!D12</f>
        <v>15</v>
      </c>
      <c r="AR52" s="111"/>
      <c r="AS52" s="112"/>
      <c r="AT52" s="101">
        <f>AQ52/SUM(AQ$52:AQ$56)</f>
        <v>2.9069767441860465E-2</v>
      </c>
      <c r="AU52" s="102"/>
      <c r="AV52" s="102"/>
      <c r="AW52" s="50">
        <f>IF(MAX(AT$52:AT$54)=AT52,IF(AT52&gt;=0.7,1,IF(AT52&gt;=0.6,2,IF(AT52&gt;=0.5,3,IF(AT52&gt;=0.4,4,5)))),0)</f>
        <v>0</v>
      </c>
      <c r="AX52" s="123" t="s">
        <v>26</v>
      </c>
      <c r="AY52" s="109" t="str">
        <f>烈嶼鄉!B12</f>
        <v>①吳炎成</v>
      </c>
      <c r="AZ52" s="102"/>
      <c r="BA52" s="102"/>
      <c r="BB52" s="102">
        <f>烈嶼鄉!D12</f>
        <v>3</v>
      </c>
      <c r="BC52" s="110">
        <f>烈嶼鄉!D12</f>
        <v>3</v>
      </c>
      <c r="BD52" s="111"/>
      <c r="BE52" s="112"/>
      <c r="BF52" s="101">
        <f>BC52/SUM(BC$52:BC$56)</f>
        <v>8.8495575221238937E-3</v>
      </c>
      <c r="BG52" s="102"/>
      <c r="BH52" s="102"/>
      <c r="BI52" s="39">
        <f>IF(MAX(BF$52:BF$54)=BF52,IF(BF52&gt;=0.7,1,IF(BF52&gt;=0.6,2,IF(BF52&gt;=0.5,3,IF(BF52&gt;=0.4,4,5)))),0)</f>
        <v>0</v>
      </c>
    </row>
    <row r="53" spans="2:61" ht="18" customHeight="1">
      <c r="B53" s="124"/>
      <c r="C53" s="109" t="str">
        <f>金寧鄉!B13</f>
        <v>②李炷烽</v>
      </c>
      <c r="D53" s="102"/>
      <c r="E53" s="102"/>
      <c r="F53" s="102"/>
      <c r="G53" s="110">
        <f>金寧鄉!D13</f>
        <v>165</v>
      </c>
      <c r="H53" s="111"/>
      <c r="I53" s="112"/>
      <c r="J53" s="101">
        <f t="shared" ref="J53:J56" si="99">G53/SUM(G$52:G$56)</f>
        <v>0.65476190476190477</v>
      </c>
      <c r="K53" s="102"/>
      <c r="L53" s="102"/>
      <c r="M53" s="50">
        <f t="shared" ref="M53:M54" si="100">IF(MAX(J$52:J$54)=J53,IF(J53&gt;=0.7,1,IF(J53&gt;=0.6,2,IF(J53&gt;=0.5,3,IF(J53&gt;=0.4,4,5)))),0)</f>
        <v>2</v>
      </c>
      <c r="N53" s="124"/>
      <c r="O53" s="109" t="str">
        <f>金城鎮!B13</f>
        <v>②李炷烽</v>
      </c>
      <c r="P53" s="102"/>
      <c r="Q53" s="102"/>
      <c r="R53" s="102">
        <f>金城鎮!D13</f>
        <v>695</v>
      </c>
      <c r="S53" s="110">
        <f>金城鎮!D13</f>
        <v>695</v>
      </c>
      <c r="T53" s="111"/>
      <c r="U53" s="112"/>
      <c r="V53" s="101">
        <f t="shared" ref="V53:V56" si="101">S53/SUM(S$52:S$56)</f>
        <v>0.552903739061257</v>
      </c>
      <c r="W53" s="102"/>
      <c r="X53" s="102"/>
      <c r="Y53" s="51">
        <f t="shared" ref="Y53:Y54" si="102">IF(MAX(V$52:V$54)=V53,IF(V53&gt;=0.7,1,IF(V53&gt;=0.6,2,IF(V53&gt;=0.5,3,IF(V53&gt;=0.4,4,5)))),0)</f>
        <v>3</v>
      </c>
      <c r="Z53" s="124"/>
      <c r="AA53" s="98" t="str">
        <f>金沙鎮!B13</f>
        <v>②李炷烽</v>
      </c>
      <c r="AB53" s="99"/>
      <c r="AC53" s="99"/>
      <c r="AD53" s="100">
        <f>金沙鎮!D13</f>
        <v>120</v>
      </c>
      <c r="AE53" s="110">
        <f>金沙鎮!D13</f>
        <v>120</v>
      </c>
      <c r="AF53" s="111"/>
      <c r="AG53" s="112"/>
      <c r="AH53" s="101">
        <f t="shared" ref="AH53:AH56" si="103">AE53/SUM(AE$52:AE$56)</f>
        <v>0.51063829787234039</v>
      </c>
      <c r="AI53" s="102"/>
      <c r="AJ53" s="102"/>
      <c r="AK53" s="50">
        <f t="shared" ref="AK53:AK54" si="104">IF(MAX(AH$52:AH$54)=AH53,IF(AH53&gt;=0.7,1,IF(AH53&gt;=0.6,2,IF(AH53&gt;=0.5,3,IF(AH53&gt;=0.4,4,5)))),0)</f>
        <v>3</v>
      </c>
      <c r="AL53" s="124"/>
      <c r="AM53" s="98" t="str">
        <f>金湖鎮!B13</f>
        <v>②李炷烽</v>
      </c>
      <c r="AN53" s="99"/>
      <c r="AO53" s="99"/>
      <c r="AP53" s="100">
        <f>金湖鎮!D13</f>
        <v>237</v>
      </c>
      <c r="AQ53" s="110">
        <f>金湖鎮!D13</f>
        <v>237</v>
      </c>
      <c r="AR53" s="111"/>
      <c r="AS53" s="112"/>
      <c r="AT53" s="101">
        <f t="shared" ref="AT53:AT56" si="105">AQ53/SUM(AQ$52:AQ$56)</f>
        <v>0.45930232558139533</v>
      </c>
      <c r="AU53" s="102"/>
      <c r="AV53" s="102"/>
      <c r="AW53" s="50">
        <f t="shared" ref="AW53:AW54" si="106">IF(MAX(AT$52:AT$54)=AT53,IF(AT53&gt;=0.7,1,IF(AT53&gt;=0.6,2,IF(AT53&gt;=0.5,3,IF(AT53&gt;=0.4,4,5)))),0)</f>
        <v>4</v>
      </c>
      <c r="AX53" s="124"/>
      <c r="AY53" s="109" t="str">
        <f>烈嶼鄉!B13</f>
        <v>②李炷烽</v>
      </c>
      <c r="AZ53" s="102"/>
      <c r="BA53" s="102"/>
      <c r="BB53" s="102">
        <f>烈嶼鄉!D13</f>
        <v>127</v>
      </c>
      <c r="BC53" s="110">
        <f>烈嶼鄉!D13</f>
        <v>127</v>
      </c>
      <c r="BD53" s="111"/>
      <c r="BE53" s="112"/>
      <c r="BF53" s="101">
        <f t="shared" ref="BF53:BF56" si="107">BC53/SUM(BC$52:BC$56)</f>
        <v>0.37463126843657818</v>
      </c>
      <c r="BG53" s="102"/>
      <c r="BH53" s="102"/>
      <c r="BI53" s="39">
        <f t="shared" ref="BI53:BI54" si="108">IF(MAX(BF$52:BF$54)=BF53,IF(BF53&gt;=0.7,1,IF(BF53&gt;=0.6,2,IF(BF53&gt;=0.5,3,IF(BF53&gt;=0.4,4,5)))),0)</f>
        <v>5</v>
      </c>
    </row>
    <row r="54" spans="2:61" ht="18" customHeight="1">
      <c r="B54" s="124"/>
      <c r="C54" s="109" t="str">
        <f>金寧鄉!B14</f>
        <v>③黃積軍</v>
      </c>
      <c r="D54" s="102"/>
      <c r="E54" s="102"/>
      <c r="F54" s="102"/>
      <c r="G54" s="110">
        <f>金寧鄉!D14</f>
        <v>0</v>
      </c>
      <c r="H54" s="111"/>
      <c r="I54" s="112"/>
      <c r="J54" s="101">
        <f t="shared" si="99"/>
        <v>0</v>
      </c>
      <c r="K54" s="102"/>
      <c r="L54" s="102"/>
      <c r="M54" s="50">
        <f t="shared" si="100"/>
        <v>0</v>
      </c>
      <c r="N54" s="124"/>
      <c r="O54" s="109" t="str">
        <f>金城鎮!B14</f>
        <v>③黃積軍</v>
      </c>
      <c r="P54" s="102"/>
      <c r="Q54" s="102"/>
      <c r="R54" s="102">
        <f>金城鎮!D14</f>
        <v>24</v>
      </c>
      <c r="S54" s="110">
        <f>金城鎮!D14</f>
        <v>24</v>
      </c>
      <c r="T54" s="111"/>
      <c r="U54" s="112"/>
      <c r="V54" s="101">
        <f t="shared" si="101"/>
        <v>1.9093078758949882E-2</v>
      </c>
      <c r="W54" s="102"/>
      <c r="X54" s="102"/>
      <c r="Y54" s="51">
        <f t="shared" si="102"/>
        <v>0</v>
      </c>
      <c r="Z54" s="124"/>
      <c r="AA54" s="98" t="str">
        <f>金沙鎮!B14</f>
        <v>③黃積軍</v>
      </c>
      <c r="AB54" s="99"/>
      <c r="AC54" s="99"/>
      <c r="AD54" s="100">
        <f>金沙鎮!D14</f>
        <v>2</v>
      </c>
      <c r="AE54" s="110">
        <f>金沙鎮!D14</f>
        <v>2</v>
      </c>
      <c r="AF54" s="111"/>
      <c r="AG54" s="112"/>
      <c r="AH54" s="101">
        <f t="shared" si="103"/>
        <v>8.5106382978723406E-3</v>
      </c>
      <c r="AI54" s="102"/>
      <c r="AJ54" s="102"/>
      <c r="AK54" s="50">
        <f t="shared" si="104"/>
        <v>0</v>
      </c>
      <c r="AL54" s="124"/>
      <c r="AM54" s="98" t="str">
        <f>金湖鎮!B14</f>
        <v>③黃積軍</v>
      </c>
      <c r="AN54" s="99"/>
      <c r="AO54" s="99"/>
      <c r="AP54" s="100">
        <f>金湖鎮!D14</f>
        <v>14</v>
      </c>
      <c r="AQ54" s="110">
        <f>金湖鎮!D14</f>
        <v>14</v>
      </c>
      <c r="AR54" s="111"/>
      <c r="AS54" s="112"/>
      <c r="AT54" s="101">
        <f t="shared" si="105"/>
        <v>2.7131782945736434E-2</v>
      </c>
      <c r="AU54" s="102"/>
      <c r="AV54" s="102"/>
      <c r="AW54" s="50">
        <f t="shared" si="106"/>
        <v>0</v>
      </c>
      <c r="AX54" s="124"/>
      <c r="AY54" s="109" t="str">
        <f>烈嶼鄉!B14</f>
        <v>③黃積軍</v>
      </c>
      <c r="AZ54" s="102"/>
      <c r="BA54" s="102"/>
      <c r="BB54" s="102">
        <f>烈嶼鄉!D14</f>
        <v>2</v>
      </c>
      <c r="BC54" s="110">
        <f>烈嶼鄉!D14</f>
        <v>2</v>
      </c>
      <c r="BD54" s="111"/>
      <c r="BE54" s="112"/>
      <c r="BF54" s="101">
        <f t="shared" si="107"/>
        <v>5.8997050147492625E-3</v>
      </c>
      <c r="BG54" s="102"/>
      <c r="BH54" s="102"/>
      <c r="BI54" s="39">
        <f t="shared" si="108"/>
        <v>0</v>
      </c>
    </row>
    <row r="55" spans="2:61" ht="18" customHeight="1">
      <c r="B55" s="125"/>
      <c r="C55" s="109" t="str">
        <f>金寧鄉!B15</f>
        <v>④楊肅元</v>
      </c>
      <c r="D55" s="102"/>
      <c r="E55" s="102"/>
      <c r="F55" s="102"/>
      <c r="G55" s="110">
        <f>金寧鄉!D15</f>
        <v>28</v>
      </c>
      <c r="H55" s="111"/>
      <c r="I55" s="112"/>
      <c r="J55" s="101">
        <f t="shared" si="99"/>
        <v>0.1111111111111111</v>
      </c>
      <c r="K55" s="102"/>
      <c r="L55" s="102"/>
      <c r="M55" s="50">
        <f t="shared" ref="M55:M56" si="109">IF(MAX(J$52:J$54)=J55,IF(J55&gt;=0.7,1,IF(J55&gt;=0.6,2,IF(J55&gt;=0.5,3,IF(J55&gt;=0.4,4,5)))),0)</f>
        <v>0</v>
      </c>
      <c r="N55" s="125"/>
      <c r="O55" s="109" t="str">
        <f>金城鎮!B15</f>
        <v>④楊肅元</v>
      </c>
      <c r="P55" s="102"/>
      <c r="Q55" s="102"/>
      <c r="R55" s="102">
        <f>金城鎮!D15</f>
        <v>319</v>
      </c>
      <c r="S55" s="110">
        <f>金城鎮!D15</f>
        <v>319</v>
      </c>
      <c r="T55" s="111"/>
      <c r="U55" s="112"/>
      <c r="V55" s="101">
        <f t="shared" si="101"/>
        <v>0.25377883850437549</v>
      </c>
      <c r="W55" s="102"/>
      <c r="X55" s="102"/>
      <c r="Y55" s="51">
        <f t="shared" ref="Y55:Y56" si="110">IF(MAX(V$52:V$54)=V55,IF(V55&gt;=0.7,1,IF(V55&gt;=0.6,2,IF(V55&gt;=0.5,3,IF(V55&gt;=0.4,4,5)))),0)</f>
        <v>0</v>
      </c>
      <c r="Z55" s="125"/>
      <c r="AA55" s="98" t="str">
        <f>金沙鎮!B15</f>
        <v>④楊肅元</v>
      </c>
      <c r="AB55" s="99"/>
      <c r="AC55" s="99"/>
      <c r="AD55" s="100">
        <f>金沙鎮!D15</f>
        <v>26</v>
      </c>
      <c r="AE55" s="110">
        <f>金沙鎮!D15</f>
        <v>26</v>
      </c>
      <c r="AF55" s="111"/>
      <c r="AG55" s="112"/>
      <c r="AH55" s="101">
        <f t="shared" si="103"/>
        <v>0.11063829787234042</v>
      </c>
      <c r="AI55" s="102"/>
      <c r="AJ55" s="102"/>
      <c r="AK55" s="50">
        <f t="shared" ref="AK55:AK56" si="111">IF(MAX(AH$52:AH$54)=AH55,IF(AH55&gt;=0.7,1,IF(AH55&gt;=0.6,2,IF(AH55&gt;=0.5,3,IF(AH55&gt;=0.4,4,5)))),0)</f>
        <v>0</v>
      </c>
      <c r="AL55" s="125"/>
      <c r="AM55" s="98" t="str">
        <f>金湖鎮!B15</f>
        <v>④楊肅元</v>
      </c>
      <c r="AN55" s="99"/>
      <c r="AO55" s="99"/>
      <c r="AP55" s="100">
        <f>金湖鎮!D15</f>
        <v>89</v>
      </c>
      <c r="AQ55" s="110">
        <f>金湖鎮!D15</f>
        <v>89</v>
      </c>
      <c r="AR55" s="111"/>
      <c r="AS55" s="112"/>
      <c r="AT55" s="101">
        <f t="shared" si="105"/>
        <v>0.17248062015503876</v>
      </c>
      <c r="AU55" s="102"/>
      <c r="AV55" s="102"/>
      <c r="AW55" s="50">
        <f t="shared" ref="AW55:AW56" si="112">IF(MAX(AT$52:AT$54)=AT55,IF(AT55&gt;=0.7,1,IF(AT55&gt;=0.6,2,IF(AT55&gt;=0.5,3,IF(AT55&gt;=0.4,4,5)))),0)</f>
        <v>0</v>
      </c>
      <c r="AX55" s="124"/>
      <c r="AY55" s="109" t="str">
        <f>烈嶼鄉!B15</f>
        <v>④楊肅元</v>
      </c>
      <c r="AZ55" s="102"/>
      <c r="BA55" s="102"/>
      <c r="BB55" s="102">
        <f>烈嶼鄉!D15</f>
        <v>34</v>
      </c>
      <c r="BC55" s="110">
        <f>烈嶼鄉!D15</f>
        <v>34</v>
      </c>
      <c r="BD55" s="111"/>
      <c r="BE55" s="112"/>
      <c r="BF55" s="101">
        <f t="shared" si="107"/>
        <v>0.10029498525073746</v>
      </c>
      <c r="BG55" s="102"/>
      <c r="BH55" s="102"/>
      <c r="BI55" s="39">
        <f t="shared" ref="BI55:BI56" si="113">IF(MAX(BF$52:BF$54)=BF55,IF(BF55&gt;=0.7,1,IF(BF55&gt;=0.6,2,IF(BF55&gt;=0.5,3,IF(BF55&gt;=0.4,4,5)))),0)</f>
        <v>0</v>
      </c>
    </row>
    <row r="56" spans="2:61" ht="18" customHeight="1">
      <c r="B56" s="126"/>
      <c r="C56" s="109" t="str">
        <f>金寧鄉!B16</f>
        <v>⑤翟美玉</v>
      </c>
      <c r="D56" s="102"/>
      <c r="E56" s="102"/>
      <c r="F56" s="102"/>
      <c r="G56" s="110">
        <f>金寧鄉!D16</f>
        <v>51</v>
      </c>
      <c r="H56" s="111"/>
      <c r="I56" s="112"/>
      <c r="J56" s="101">
        <f t="shared" si="99"/>
        <v>0.20238095238095238</v>
      </c>
      <c r="K56" s="102"/>
      <c r="L56" s="102"/>
      <c r="M56" s="50">
        <f t="shared" si="109"/>
        <v>0</v>
      </c>
      <c r="N56" s="126"/>
      <c r="O56" s="109" t="str">
        <f>金城鎮!B16</f>
        <v>⑤翟美玉</v>
      </c>
      <c r="P56" s="102"/>
      <c r="Q56" s="102"/>
      <c r="R56" s="102">
        <f>金城鎮!D16</f>
        <v>195</v>
      </c>
      <c r="S56" s="110">
        <f>金城鎮!D16</f>
        <v>195</v>
      </c>
      <c r="T56" s="111"/>
      <c r="U56" s="112"/>
      <c r="V56" s="101">
        <f t="shared" si="101"/>
        <v>0.15513126491646778</v>
      </c>
      <c r="W56" s="102"/>
      <c r="X56" s="102"/>
      <c r="Y56" s="51">
        <f t="shared" si="110"/>
        <v>0</v>
      </c>
      <c r="Z56" s="126"/>
      <c r="AA56" s="98" t="str">
        <f>金沙鎮!B16</f>
        <v>⑤翟美玉</v>
      </c>
      <c r="AB56" s="99"/>
      <c r="AC56" s="99"/>
      <c r="AD56" s="100">
        <f>金沙鎮!D16</f>
        <v>75</v>
      </c>
      <c r="AE56" s="110">
        <f>金沙鎮!D16</f>
        <v>75</v>
      </c>
      <c r="AF56" s="111"/>
      <c r="AG56" s="112"/>
      <c r="AH56" s="101">
        <f t="shared" si="103"/>
        <v>0.31914893617021278</v>
      </c>
      <c r="AI56" s="102"/>
      <c r="AJ56" s="102"/>
      <c r="AK56" s="50">
        <f t="shared" si="111"/>
        <v>0</v>
      </c>
      <c r="AL56" s="126"/>
      <c r="AM56" s="98" t="str">
        <f>金湖鎮!B16</f>
        <v>⑤翟美玉</v>
      </c>
      <c r="AN56" s="99"/>
      <c r="AO56" s="99"/>
      <c r="AP56" s="100">
        <f>金湖鎮!D16</f>
        <v>161</v>
      </c>
      <c r="AQ56" s="110">
        <f>金湖鎮!D16</f>
        <v>161</v>
      </c>
      <c r="AR56" s="111"/>
      <c r="AS56" s="112"/>
      <c r="AT56" s="101">
        <f t="shared" si="105"/>
        <v>0.31201550387596899</v>
      </c>
      <c r="AU56" s="102"/>
      <c r="AV56" s="102"/>
      <c r="AW56" s="50">
        <f t="shared" si="112"/>
        <v>0</v>
      </c>
      <c r="AX56" s="166"/>
      <c r="AY56" s="109" t="str">
        <f>烈嶼鄉!B16</f>
        <v>⑤翟美玉</v>
      </c>
      <c r="AZ56" s="102"/>
      <c r="BA56" s="102"/>
      <c r="BB56" s="102">
        <f>烈嶼鄉!D16</f>
        <v>173</v>
      </c>
      <c r="BC56" s="110">
        <f>烈嶼鄉!D16</f>
        <v>173</v>
      </c>
      <c r="BD56" s="111"/>
      <c r="BE56" s="112"/>
      <c r="BF56" s="101">
        <f t="shared" si="107"/>
        <v>0.51032448377581119</v>
      </c>
      <c r="BG56" s="102"/>
      <c r="BH56" s="102"/>
      <c r="BI56" s="39">
        <f t="shared" si="113"/>
        <v>0</v>
      </c>
    </row>
    <row r="57" spans="2:61" ht="18" customHeight="1">
      <c r="B57" s="167" t="s">
        <v>14</v>
      </c>
      <c r="C57" s="103" t="str">
        <f>金寧鄉!B17</f>
        <v>①吳炎成</v>
      </c>
      <c r="D57" s="104"/>
      <c r="E57" s="104"/>
      <c r="F57" s="104"/>
      <c r="G57" s="105">
        <f>金寧鄉!D17</f>
        <v>8</v>
      </c>
      <c r="H57" s="111"/>
      <c r="I57" s="112"/>
      <c r="J57" s="108">
        <f>G57/SUM(G$57:G$61)</f>
        <v>1.3157894736842105E-2</v>
      </c>
      <c r="K57" s="104"/>
      <c r="L57" s="104"/>
      <c r="M57" s="50">
        <f>IF(MAX(J$57:J$59)=J57,IF(J57&gt;=0.7,1,IF(J57&gt;=0.6,2,IF(J57&gt;=0.5,3,IF(J57&gt;=0.4,4,5)))),0)</f>
        <v>0</v>
      </c>
      <c r="N57" s="167" t="s">
        <v>19</v>
      </c>
      <c r="O57" s="103" t="str">
        <f>金城鎮!B17</f>
        <v>①吳炎成</v>
      </c>
      <c r="P57" s="104"/>
      <c r="Q57" s="104"/>
      <c r="R57" s="104">
        <f>金城鎮!D17</f>
        <v>12</v>
      </c>
      <c r="S57" s="105">
        <f>金城鎮!D17</f>
        <v>12</v>
      </c>
      <c r="T57" s="106"/>
      <c r="U57" s="107"/>
      <c r="V57" s="108">
        <f>S57/SUM(S$57:S$61)</f>
        <v>1.4302741358760428E-2</v>
      </c>
      <c r="W57" s="104"/>
      <c r="X57" s="104"/>
      <c r="Y57" s="51">
        <f>IF(MAX(V$57:V$59)=V57,IF(V57&gt;=0.7,1,IF(V57&gt;=0.6,2,IF(V57&gt;=0.5,3,IF(V57&gt;=0.4,4,5)))),0)</f>
        <v>0</v>
      </c>
      <c r="Z57" s="167" t="s">
        <v>82</v>
      </c>
      <c r="AA57" s="113" t="str">
        <f>金沙鎮!B17</f>
        <v>①吳炎成</v>
      </c>
      <c r="AB57" s="114"/>
      <c r="AC57" s="114"/>
      <c r="AD57" s="115">
        <f>金沙鎮!D17</f>
        <v>8</v>
      </c>
      <c r="AE57" s="105">
        <f>金沙鎮!D17</f>
        <v>8</v>
      </c>
      <c r="AF57" s="106"/>
      <c r="AG57" s="107"/>
      <c r="AH57" s="108">
        <f>AE57/SUM(AE$57:AE$61)</f>
        <v>2.0618556701030927E-2</v>
      </c>
      <c r="AI57" s="104"/>
      <c r="AJ57" s="104"/>
      <c r="AK57" s="50">
        <f>IF(MAX(AH$57:AH$59)=AH57,IF(AH57&gt;=0.7,1,IF(AH57&gt;=0.6,2,IF(AH57&gt;=0.5,3,IF(AH57&gt;=0.4,4,5)))),0)</f>
        <v>0</v>
      </c>
      <c r="AL57" s="167" t="s">
        <v>90</v>
      </c>
      <c r="AM57" s="113" t="str">
        <f>金湖鎮!B17</f>
        <v>①吳炎成</v>
      </c>
      <c r="AN57" s="114"/>
      <c r="AO57" s="114"/>
      <c r="AP57" s="115">
        <f>金湖鎮!D17</f>
        <v>10</v>
      </c>
      <c r="AQ57" s="105">
        <f>金湖鎮!D17</f>
        <v>10</v>
      </c>
      <c r="AR57" s="106"/>
      <c r="AS57" s="107"/>
      <c r="AT57" s="108">
        <f>AQ57/SUM(AQ$57:AQ$61)</f>
        <v>3.1645569620253167E-2</v>
      </c>
      <c r="AU57" s="104"/>
      <c r="AV57" s="104"/>
      <c r="AW57" s="50">
        <f>IF(MAX(AT$57:AT$59)=AT57,IF(AT57&gt;=0.7,1,IF(AT57&gt;=0.6,2,IF(AT57&gt;=0.5,3,IF(AT57&gt;=0.4,4,5)))),0)</f>
        <v>0</v>
      </c>
      <c r="AX57" s="167" t="s">
        <v>27</v>
      </c>
      <c r="AY57" s="103" t="str">
        <f>烈嶼鄉!B17</f>
        <v>①吳炎成</v>
      </c>
      <c r="AZ57" s="104"/>
      <c r="BA57" s="104"/>
      <c r="BB57" s="104">
        <f>烈嶼鄉!D17</f>
        <v>8</v>
      </c>
      <c r="BC57" s="105">
        <f>烈嶼鄉!D17</f>
        <v>8</v>
      </c>
      <c r="BD57" s="106"/>
      <c r="BE57" s="107"/>
      <c r="BF57" s="108">
        <f>BC57/SUM(BC$57:BC$61)</f>
        <v>1.282051282051282E-2</v>
      </c>
      <c r="BG57" s="104"/>
      <c r="BH57" s="104"/>
      <c r="BI57" s="39">
        <f>IF(MAX(BF$57:BF$59)=BF57,IF(BF57&gt;=0.7,1,IF(BF57&gt;=0.6,2,IF(BF57&gt;=0.5,3,IF(BF57&gt;=0.4,4,5)))),0)</f>
        <v>0</v>
      </c>
    </row>
    <row r="58" spans="2:61" ht="18" customHeight="1">
      <c r="B58" s="124"/>
      <c r="C58" s="103" t="str">
        <f>金寧鄉!B18</f>
        <v>②李炷烽</v>
      </c>
      <c r="D58" s="104"/>
      <c r="E58" s="104"/>
      <c r="F58" s="104"/>
      <c r="G58" s="105">
        <f>金寧鄉!D18</f>
        <v>168</v>
      </c>
      <c r="H58" s="111"/>
      <c r="I58" s="112"/>
      <c r="J58" s="108">
        <f t="shared" ref="J58:J61" si="114">G58/SUM(G$57:G$61)</f>
        <v>0.27631578947368424</v>
      </c>
      <c r="K58" s="104"/>
      <c r="L58" s="104"/>
      <c r="M58" s="50">
        <f t="shared" ref="M58:M59" si="115">IF(MAX(J$57:J$59)=J58,IF(J58&gt;=0.7,1,IF(J58&gt;=0.6,2,IF(J58&gt;=0.5,3,IF(J58&gt;=0.4,4,5)))),0)</f>
        <v>5</v>
      </c>
      <c r="N58" s="124"/>
      <c r="O58" s="103" t="str">
        <f>金城鎮!B18</f>
        <v>②李炷烽</v>
      </c>
      <c r="P58" s="104"/>
      <c r="Q58" s="104"/>
      <c r="R58" s="104">
        <f>金城鎮!D18</f>
        <v>463</v>
      </c>
      <c r="S58" s="105">
        <f>金城鎮!D18</f>
        <v>463</v>
      </c>
      <c r="T58" s="106"/>
      <c r="U58" s="107"/>
      <c r="V58" s="108">
        <f t="shared" ref="V58:V61" si="116">S58/SUM(S$57:S$61)</f>
        <v>0.55184743742550657</v>
      </c>
      <c r="W58" s="104"/>
      <c r="X58" s="104"/>
      <c r="Y58" s="51">
        <f t="shared" ref="Y58:Y59" si="117">IF(MAX(V$57:V$59)=V58,IF(V58&gt;=0.7,1,IF(V58&gt;=0.6,2,IF(V58&gt;=0.5,3,IF(V58&gt;=0.4,4,5)))),0)</f>
        <v>3</v>
      </c>
      <c r="Z58" s="124"/>
      <c r="AA58" s="113" t="str">
        <f>金沙鎮!B18</f>
        <v>②李炷烽</v>
      </c>
      <c r="AB58" s="114"/>
      <c r="AC58" s="114"/>
      <c r="AD58" s="115">
        <f>金沙鎮!D18</f>
        <v>199</v>
      </c>
      <c r="AE58" s="105">
        <f>金沙鎮!D18</f>
        <v>199</v>
      </c>
      <c r="AF58" s="106"/>
      <c r="AG58" s="107"/>
      <c r="AH58" s="108">
        <f t="shared" ref="AH58:AH61" si="118">AE58/SUM(AE$57:AE$61)</f>
        <v>0.51288659793814428</v>
      </c>
      <c r="AI58" s="104"/>
      <c r="AJ58" s="104"/>
      <c r="AK58" s="50">
        <f t="shared" ref="AK58:AK59" si="119">IF(MAX(AH$57:AH$59)=AH58,IF(AH58&gt;=0.7,1,IF(AH58&gt;=0.6,2,IF(AH58&gt;=0.5,3,IF(AH58&gt;=0.4,4,5)))),0)</f>
        <v>3</v>
      </c>
      <c r="AL58" s="124"/>
      <c r="AM58" s="113" t="str">
        <f>金湖鎮!B18</f>
        <v>②李炷烽</v>
      </c>
      <c r="AN58" s="114"/>
      <c r="AO58" s="114"/>
      <c r="AP58" s="115">
        <f>金湖鎮!D18</f>
        <v>193</v>
      </c>
      <c r="AQ58" s="105">
        <f>金湖鎮!D18</f>
        <v>193</v>
      </c>
      <c r="AR58" s="106"/>
      <c r="AS58" s="107"/>
      <c r="AT58" s="108">
        <f t="shared" ref="AT58:AT61" si="120">AQ58/SUM(AQ$57:AQ$61)</f>
        <v>0.61075949367088611</v>
      </c>
      <c r="AU58" s="104"/>
      <c r="AV58" s="104"/>
      <c r="AW58" s="50">
        <f t="shared" ref="AW58:AW59" si="121">IF(MAX(AT$57:AT$59)=AT58,IF(AT58&gt;=0.7,1,IF(AT58&gt;=0.6,2,IF(AT58&gt;=0.5,3,IF(AT58&gt;=0.4,4,5)))),0)</f>
        <v>2</v>
      </c>
      <c r="AX58" s="124"/>
      <c r="AY58" s="103" t="str">
        <f>烈嶼鄉!B18</f>
        <v>②李炷烽</v>
      </c>
      <c r="AZ58" s="104"/>
      <c r="BA58" s="104"/>
      <c r="BB58" s="104">
        <f>烈嶼鄉!D18</f>
        <v>344</v>
      </c>
      <c r="BC58" s="105">
        <f>烈嶼鄉!D18</f>
        <v>344</v>
      </c>
      <c r="BD58" s="106"/>
      <c r="BE58" s="107"/>
      <c r="BF58" s="108">
        <f t="shared" ref="BF58:BF61" si="122">BC58/SUM(BC$57:BC$61)</f>
        <v>0.55128205128205132</v>
      </c>
      <c r="BG58" s="104"/>
      <c r="BH58" s="104"/>
      <c r="BI58" s="39">
        <f t="shared" ref="BI58:BI59" si="123">IF(MAX(BF$57:BF$59)=BF58,IF(BF58&gt;=0.7,1,IF(BF58&gt;=0.6,2,IF(BF58&gt;=0.5,3,IF(BF58&gt;=0.4,4,5)))),0)</f>
        <v>3</v>
      </c>
    </row>
    <row r="59" spans="2:61" ht="18" customHeight="1">
      <c r="B59" s="124"/>
      <c r="C59" s="103" t="str">
        <f>金寧鄉!B19</f>
        <v>③黃積軍</v>
      </c>
      <c r="D59" s="104"/>
      <c r="E59" s="104"/>
      <c r="F59" s="104"/>
      <c r="G59" s="105">
        <f>金寧鄉!D19</f>
        <v>2</v>
      </c>
      <c r="H59" s="111"/>
      <c r="I59" s="112"/>
      <c r="J59" s="108">
        <f t="shared" si="114"/>
        <v>3.2894736842105261E-3</v>
      </c>
      <c r="K59" s="104"/>
      <c r="L59" s="104"/>
      <c r="M59" s="50">
        <f t="shared" si="115"/>
        <v>0</v>
      </c>
      <c r="N59" s="124"/>
      <c r="O59" s="103" t="str">
        <f>金城鎮!B19</f>
        <v>③黃積軍</v>
      </c>
      <c r="P59" s="104"/>
      <c r="Q59" s="104"/>
      <c r="R59" s="104">
        <f>金城鎮!D19</f>
        <v>15</v>
      </c>
      <c r="S59" s="105">
        <f>金城鎮!D19</f>
        <v>15</v>
      </c>
      <c r="T59" s="106"/>
      <c r="U59" s="107"/>
      <c r="V59" s="108">
        <f t="shared" si="116"/>
        <v>1.7878426698450536E-2</v>
      </c>
      <c r="W59" s="104"/>
      <c r="X59" s="104"/>
      <c r="Y59" s="51">
        <f t="shared" si="117"/>
        <v>0</v>
      </c>
      <c r="Z59" s="124"/>
      <c r="AA59" s="113" t="str">
        <f>金沙鎮!B19</f>
        <v>③黃積軍</v>
      </c>
      <c r="AB59" s="114"/>
      <c r="AC59" s="114"/>
      <c r="AD59" s="115">
        <f>金沙鎮!D19</f>
        <v>13</v>
      </c>
      <c r="AE59" s="105">
        <f>金沙鎮!D19</f>
        <v>13</v>
      </c>
      <c r="AF59" s="106"/>
      <c r="AG59" s="107"/>
      <c r="AH59" s="108">
        <f t="shared" si="118"/>
        <v>3.3505154639175257E-2</v>
      </c>
      <c r="AI59" s="104"/>
      <c r="AJ59" s="104"/>
      <c r="AK59" s="50">
        <f t="shared" si="119"/>
        <v>0</v>
      </c>
      <c r="AL59" s="124"/>
      <c r="AM59" s="113" t="str">
        <f>金湖鎮!B19</f>
        <v>③黃積軍</v>
      </c>
      <c r="AN59" s="114"/>
      <c r="AO59" s="114"/>
      <c r="AP59" s="115">
        <f>金湖鎮!D19</f>
        <v>6</v>
      </c>
      <c r="AQ59" s="105">
        <f>金湖鎮!D19</f>
        <v>6</v>
      </c>
      <c r="AR59" s="106"/>
      <c r="AS59" s="107"/>
      <c r="AT59" s="108">
        <f t="shared" si="120"/>
        <v>1.8987341772151899E-2</v>
      </c>
      <c r="AU59" s="104"/>
      <c r="AV59" s="104"/>
      <c r="AW59" s="50">
        <f t="shared" si="121"/>
        <v>0</v>
      </c>
      <c r="AX59" s="124"/>
      <c r="AY59" s="103" t="str">
        <f>烈嶼鄉!B19</f>
        <v>③黃積軍</v>
      </c>
      <c r="AZ59" s="104"/>
      <c r="BA59" s="104"/>
      <c r="BB59" s="104">
        <f>烈嶼鄉!D19</f>
        <v>5</v>
      </c>
      <c r="BC59" s="105">
        <f>烈嶼鄉!D19</f>
        <v>5</v>
      </c>
      <c r="BD59" s="106"/>
      <c r="BE59" s="107"/>
      <c r="BF59" s="108">
        <f t="shared" si="122"/>
        <v>8.0128205128205121E-3</v>
      </c>
      <c r="BG59" s="104"/>
      <c r="BH59" s="104"/>
      <c r="BI59" s="39">
        <f t="shared" si="123"/>
        <v>0</v>
      </c>
    </row>
    <row r="60" spans="2:61" ht="18" customHeight="1">
      <c r="B60" s="125"/>
      <c r="C60" s="103" t="str">
        <f>金寧鄉!B20</f>
        <v>④楊肅元</v>
      </c>
      <c r="D60" s="104"/>
      <c r="E60" s="104"/>
      <c r="F60" s="104"/>
      <c r="G60" s="105">
        <f>金寧鄉!D20</f>
        <v>322</v>
      </c>
      <c r="H60" s="111"/>
      <c r="I60" s="112"/>
      <c r="J60" s="108">
        <f t="shared" si="114"/>
        <v>0.52960526315789469</v>
      </c>
      <c r="K60" s="104"/>
      <c r="L60" s="104"/>
      <c r="M60" s="50">
        <f t="shared" ref="M60:M61" si="124">IF(MAX(J$57:J$59)=J60,IF(J60&gt;=0.7,1,IF(J60&gt;=0.6,2,IF(J60&gt;=0.5,3,IF(J60&gt;=0.4,4,5)))),0)</f>
        <v>0</v>
      </c>
      <c r="N60" s="125"/>
      <c r="O60" s="103" t="str">
        <f>金城鎮!B20</f>
        <v>④楊肅元</v>
      </c>
      <c r="P60" s="104"/>
      <c r="Q60" s="104"/>
      <c r="R60" s="104">
        <f>金城鎮!D20</f>
        <v>173</v>
      </c>
      <c r="S60" s="105">
        <f>金城鎮!D20</f>
        <v>173</v>
      </c>
      <c r="T60" s="106"/>
      <c r="U60" s="107"/>
      <c r="V60" s="108">
        <f t="shared" si="116"/>
        <v>0.20619785458879619</v>
      </c>
      <c r="W60" s="104"/>
      <c r="X60" s="104"/>
      <c r="Y60" s="51">
        <f t="shared" ref="Y60:Y61" si="125">IF(MAX(V$57:V$59)=V60,IF(V60&gt;=0.7,1,IF(V60&gt;=0.6,2,IF(V60&gt;=0.5,3,IF(V60&gt;=0.4,4,5)))),0)</f>
        <v>0</v>
      </c>
      <c r="Z60" s="125"/>
      <c r="AA60" s="113" t="str">
        <f>金沙鎮!B20</f>
        <v>④楊肅元</v>
      </c>
      <c r="AB60" s="114"/>
      <c r="AC60" s="114"/>
      <c r="AD60" s="115">
        <f>金沙鎮!D20</f>
        <v>43</v>
      </c>
      <c r="AE60" s="105">
        <f>金沙鎮!D20</f>
        <v>43</v>
      </c>
      <c r="AF60" s="106"/>
      <c r="AG60" s="107"/>
      <c r="AH60" s="108">
        <f t="shared" si="118"/>
        <v>0.11082474226804123</v>
      </c>
      <c r="AI60" s="104"/>
      <c r="AJ60" s="104"/>
      <c r="AK60" s="50">
        <f t="shared" ref="AK60:AK61" si="126">IF(MAX(AH$57:AH$59)=AH60,IF(AH60&gt;=0.7,1,IF(AH60&gt;=0.6,2,IF(AH60&gt;=0.5,3,IF(AH60&gt;=0.4,4,5)))),0)</f>
        <v>0</v>
      </c>
      <c r="AL60" s="125"/>
      <c r="AM60" s="113" t="str">
        <f>金湖鎮!B20</f>
        <v>④楊肅元</v>
      </c>
      <c r="AN60" s="114"/>
      <c r="AO60" s="114"/>
      <c r="AP60" s="115">
        <f>金湖鎮!D20</f>
        <v>45</v>
      </c>
      <c r="AQ60" s="105">
        <f>金湖鎮!D20</f>
        <v>45</v>
      </c>
      <c r="AR60" s="106"/>
      <c r="AS60" s="107"/>
      <c r="AT60" s="108">
        <f t="shared" si="120"/>
        <v>0.14240506329113925</v>
      </c>
      <c r="AU60" s="104"/>
      <c r="AV60" s="104"/>
      <c r="AW60" s="50">
        <f t="shared" ref="AW60:AW61" si="127">IF(MAX(AT$57:AT$59)=AT60,IF(AT60&gt;=0.7,1,IF(AT60&gt;=0.6,2,IF(AT60&gt;=0.5,3,IF(AT60&gt;=0.4,4,5)))),0)</f>
        <v>0</v>
      </c>
      <c r="AX60" s="124"/>
      <c r="AY60" s="103" t="str">
        <f>烈嶼鄉!B20</f>
        <v>④楊肅元</v>
      </c>
      <c r="AZ60" s="104"/>
      <c r="BA60" s="104"/>
      <c r="BB60" s="104">
        <f>烈嶼鄉!D20</f>
        <v>96</v>
      </c>
      <c r="BC60" s="105">
        <f>烈嶼鄉!D20</f>
        <v>96</v>
      </c>
      <c r="BD60" s="106"/>
      <c r="BE60" s="107"/>
      <c r="BF60" s="108">
        <f t="shared" si="122"/>
        <v>0.15384615384615385</v>
      </c>
      <c r="BG60" s="104"/>
      <c r="BH60" s="104"/>
      <c r="BI60" s="39">
        <f t="shared" ref="BI60:BI61" si="128">IF(MAX(BF$57:BF$59)=BF60,IF(BF60&gt;=0.7,1,IF(BF60&gt;=0.6,2,IF(BF60&gt;=0.5,3,IF(BF60&gt;=0.4,4,5)))),0)</f>
        <v>0</v>
      </c>
    </row>
    <row r="61" spans="2:61" ht="18" customHeight="1">
      <c r="B61" s="126"/>
      <c r="C61" s="103" t="str">
        <f>金寧鄉!B21</f>
        <v>⑤翟美玉</v>
      </c>
      <c r="D61" s="104"/>
      <c r="E61" s="104"/>
      <c r="F61" s="104"/>
      <c r="G61" s="105">
        <f>金寧鄉!D21</f>
        <v>108</v>
      </c>
      <c r="H61" s="111"/>
      <c r="I61" s="112"/>
      <c r="J61" s="108">
        <f t="shared" si="114"/>
        <v>0.17763157894736842</v>
      </c>
      <c r="K61" s="104"/>
      <c r="L61" s="104"/>
      <c r="M61" s="50">
        <f t="shared" si="124"/>
        <v>0</v>
      </c>
      <c r="N61" s="126"/>
      <c r="O61" s="103" t="str">
        <f>金城鎮!B21</f>
        <v>⑤翟美玉</v>
      </c>
      <c r="P61" s="104"/>
      <c r="Q61" s="104"/>
      <c r="R61" s="104">
        <f>金城鎮!D21</f>
        <v>176</v>
      </c>
      <c r="S61" s="105">
        <f>金城鎮!D21</f>
        <v>176</v>
      </c>
      <c r="T61" s="106"/>
      <c r="U61" s="107"/>
      <c r="V61" s="108">
        <f t="shared" si="116"/>
        <v>0.2097735399284863</v>
      </c>
      <c r="W61" s="104"/>
      <c r="X61" s="104"/>
      <c r="Y61" s="51">
        <f t="shared" si="125"/>
        <v>0</v>
      </c>
      <c r="Z61" s="126"/>
      <c r="AA61" s="113" t="str">
        <f>金沙鎮!B21</f>
        <v>⑤翟美玉</v>
      </c>
      <c r="AB61" s="114"/>
      <c r="AC61" s="114"/>
      <c r="AD61" s="115">
        <f>金沙鎮!D21</f>
        <v>125</v>
      </c>
      <c r="AE61" s="105">
        <f>金沙鎮!D21</f>
        <v>125</v>
      </c>
      <c r="AF61" s="106"/>
      <c r="AG61" s="107"/>
      <c r="AH61" s="108">
        <f t="shared" si="118"/>
        <v>0.32216494845360827</v>
      </c>
      <c r="AI61" s="104"/>
      <c r="AJ61" s="104"/>
      <c r="AK61" s="50">
        <f t="shared" si="126"/>
        <v>0</v>
      </c>
      <c r="AL61" s="126"/>
      <c r="AM61" s="113" t="str">
        <f>金湖鎮!B21</f>
        <v>⑤翟美玉</v>
      </c>
      <c r="AN61" s="114"/>
      <c r="AO61" s="114"/>
      <c r="AP61" s="115">
        <f>金湖鎮!D21</f>
        <v>62</v>
      </c>
      <c r="AQ61" s="105">
        <f>金湖鎮!D21</f>
        <v>62</v>
      </c>
      <c r="AR61" s="106"/>
      <c r="AS61" s="107"/>
      <c r="AT61" s="108">
        <f t="shared" si="120"/>
        <v>0.19620253164556961</v>
      </c>
      <c r="AU61" s="104"/>
      <c r="AV61" s="104"/>
      <c r="AW61" s="50">
        <f t="shared" si="127"/>
        <v>0</v>
      </c>
      <c r="AX61" s="166"/>
      <c r="AY61" s="103" t="str">
        <f>烈嶼鄉!B21</f>
        <v>⑤翟美玉</v>
      </c>
      <c r="AZ61" s="104"/>
      <c r="BA61" s="104"/>
      <c r="BB61" s="104">
        <f>烈嶼鄉!D21</f>
        <v>171</v>
      </c>
      <c r="BC61" s="105">
        <f>烈嶼鄉!D21</f>
        <v>171</v>
      </c>
      <c r="BD61" s="106"/>
      <c r="BE61" s="107"/>
      <c r="BF61" s="108">
        <f t="shared" si="122"/>
        <v>0.27403846153846156</v>
      </c>
      <c r="BG61" s="104"/>
      <c r="BH61" s="104"/>
      <c r="BI61" s="39">
        <f t="shared" si="128"/>
        <v>0</v>
      </c>
    </row>
    <row r="62" spans="2:61" ht="18" customHeight="1">
      <c r="B62" s="123" t="s">
        <v>31</v>
      </c>
      <c r="C62" s="109" t="str">
        <f>金寧鄉!B22</f>
        <v>①吳炎成</v>
      </c>
      <c r="D62" s="102"/>
      <c r="E62" s="102"/>
      <c r="F62" s="102"/>
      <c r="G62" s="110">
        <f>金寧鄉!D22</f>
        <v>11</v>
      </c>
      <c r="H62" s="111"/>
      <c r="I62" s="112"/>
      <c r="J62" s="101">
        <f>G62/SUM(G$62:G$66)</f>
        <v>1.5714285714285715E-2</v>
      </c>
      <c r="K62" s="102"/>
      <c r="L62" s="102"/>
      <c r="M62" s="50">
        <f>IF(MAX(J$62:J$64)=J62,IF(J62&gt;=0.7,1,IF(J62&gt;=0.6,2,IF(J62&gt;=0.5,3,IF(J62&gt;=0.4,4,5)))),0)</f>
        <v>0</v>
      </c>
      <c r="N62" s="123" t="s">
        <v>20</v>
      </c>
      <c r="O62" s="109" t="str">
        <f>金城鎮!B22</f>
        <v>①吳炎成</v>
      </c>
      <c r="P62" s="102"/>
      <c r="Q62" s="102"/>
      <c r="R62" s="102">
        <f>金城鎮!D22</f>
        <v>10</v>
      </c>
      <c r="S62" s="110">
        <f>金城鎮!D22</f>
        <v>10</v>
      </c>
      <c r="T62" s="111"/>
      <c r="U62" s="112"/>
      <c r="V62" s="101">
        <f>S62/SUM(S$62:S$66)</f>
        <v>1.4858841010401188E-2</v>
      </c>
      <c r="W62" s="102"/>
      <c r="X62" s="102"/>
      <c r="Y62" s="51">
        <f>IF(MAX(V$62:V$64)=V62,IF(V62&gt;=0.7,1,IF(V62&gt;=0.6,2,IF(V62&gt;=0.5,3,IF(V62&gt;=0.4,4,5)))),0)</f>
        <v>0</v>
      </c>
      <c r="Z62" s="123" t="s">
        <v>83</v>
      </c>
      <c r="AA62" s="98" t="str">
        <f>金沙鎮!B22</f>
        <v>①吳炎成</v>
      </c>
      <c r="AB62" s="99"/>
      <c r="AC62" s="99"/>
      <c r="AD62" s="100">
        <f>金沙鎮!D22</f>
        <v>14</v>
      </c>
      <c r="AE62" s="110">
        <f>金沙鎮!D22</f>
        <v>14</v>
      </c>
      <c r="AF62" s="111"/>
      <c r="AG62" s="112"/>
      <c r="AH62" s="101">
        <f>AE62/SUM(AE$62:AE$66)</f>
        <v>3.255813953488372E-2</v>
      </c>
      <c r="AI62" s="102"/>
      <c r="AJ62" s="102"/>
      <c r="AK62" s="50">
        <f>IF(MAX(AH$62:AH$64)=AH62,IF(AH62&gt;=0.7,1,IF(AH62&gt;=0.6,2,IF(AH62&gt;=0.5,3,IF(AH62&gt;=0.4,4,5)))),0)</f>
        <v>0</v>
      </c>
      <c r="AL62" s="123" t="s">
        <v>91</v>
      </c>
      <c r="AM62" s="98" t="str">
        <f>金湖鎮!B22</f>
        <v>①吳炎成</v>
      </c>
      <c r="AN62" s="99"/>
      <c r="AO62" s="99"/>
      <c r="AP62" s="100">
        <f>金湖鎮!D22</f>
        <v>19</v>
      </c>
      <c r="AQ62" s="110">
        <f>金湖鎮!D22</f>
        <v>19</v>
      </c>
      <c r="AR62" s="111"/>
      <c r="AS62" s="112"/>
      <c r="AT62" s="101">
        <f>AQ62/SUM(AQ$62:AQ$66)</f>
        <v>2.8963414634146343E-2</v>
      </c>
      <c r="AU62" s="102"/>
      <c r="AV62" s="102"/>
      <c r="AW62" s="50">
        <f>IF(MAX(AT$62:AT$64)=AT62,IF(AT62&gt;=0.7,1,IF(AT62&gt;=0.6,2,IF(AT62&gt;=0.5,3,IF(AT62&gt;=0.4,4,5)))),0)</f>
        <v>0</v>
      </c>
      <c r="AX62" s="168" t="s">
        <v>28</v>
      </c>
      <c r="AY62" s="109" t="str">
        <f>烈嶼鄉!B22</f>
        <v>①吳炎成</v>
      </c>
      <c r="AZ62" s="102"/>
      <c r="BA62" s="102"/>
      <c r="BB62" s="102">
        <f>烈嶼鄉!D22</f>
        <v>6</v>
      </c>
      <c r="BC62" s="110">
        <f>烈嶼鄉!D22</f>
        <v>6</v>
      </c>
      <c r="BD62" s="111"/>
      <c r="BE62" s="112"/>
      <c r="BF62" s="101">
        <f>BC62/SUM(BC$62:BC$66)</f>
        <v>2.3622047244094488E-2</v>
      </c>
      <c r="BG62" s="102"/>
      <c r="BH62" s="102"/>
      <c r="BI62" s="39">
        <f>IF(MAX(BF$62:BF$64)=BF62,IF(BF62&gt;=0.7,1,IF(BF62&gt;=0.6,2,IF(BF62&gt;=0.5,3,IF(BF62&gt;=0.4,4,5)))),0)</f>
        <v>0</v>
      </c>
    </row>
    <row r="63" spans="2:61" ht="18" customHeight="1">
      <c r="B63" s="124"/>
      <c r="C63" s="109" t="str">
        <f>金寧鄉!B23</f>
        <v>②李炷烽</v>
      </c>
      <c r="D63" s="102"/>
      <c r="E63" s="102"/>
      <c r="F63" s="102"/>
      <c r="G63" s="110">
        <f>金寧鄉!D23</f>
        <v>370</v>
      </c>
      <c r="H63" s="111"/>
      <c r="I63" s="112"/>
      <c r="J63" s="101">
        <f t="shared" ref="J63:J66" si="129">G63/SUM(G$62:G$66)</f>
        <v>0.52857142857142858</v>
      </c>
      <c r="K63" s="102"/>
      <c r="L63" s="102"/>
      <c r="M63" s="50">
        <f t="shared" ref="M63:M64" si="130">IF(MAX(J$62:J$64)=J63,IF(J63&gt;=0.7,1,IF(J63&gt;=0.6,2,IF(J63&gt;=0.5,3,IF(J63&gt;=0.4,4,5)))),0)</f>
        <v>3</v>
      </c>
      <c r="N63" s="124"/>
      <c r="O63" s="109" t="str">
        <f>金城鎮!B23</f>
        <v>②李炷烽</v>
      </c>
      <c r="P63" s="102"/>
      <c r="Q63" s="102"/>
      <c r="R63" s="102">
        <f>金城鎮!D23</f>
        <v>251</v>
      </c>
      <c r="S63" s="110">
        <f>金城鎮!D23</f>
        <v>251</v>
      </c>
      <c r="T63" s="111"/>
      <c r="U63" s="112"/>
      <c r="V63" s="101">
        <f t="shared" ref="V63:V66" si="131">S63/SUM(S$62:S$66)</f>
        <v>0.37295690936106984</v>
      </c>
      <c r="W63" s="102"/>
      <c r="X63" s="102"/>
      <c r="Y63" s="51">
        <f t="shared" ref="Y63:Y64" si="132">IF(MAX(V$62:V$64)=V63,IF(V63&gt;=0.7,1,IF(V63&gt;=0.6,2,IF(V63&gt;=0.5,3,IF(V63&gt;=0.4,4,5)))),0)</f>
        <v>5</v>
      </c>
      <c r="Z63" s="124"/>
      <c r="AA63" s="98" t="str">
        <f>金沙鎮!B23</f>
        <v>②李炷烽</v>
      </c>
      <c r="AB63" s="99"/>
      <c r="AC63" s="99"/>
      <c r="AD63" s="100">
        <f>金沙鎮!D23</f>
        <v>166</v>
      </c>
      <c r="AE63" s="110">
        <f>金沙鎮!D23</f>
        <v>166</v>
      </c>
      <c r="AF63" s="111"/>
      <c r="AG63" s="112"/>
      <c r="AH63" s="101">
        <f t="shared" ref="AH63:AH66" si="133">AE63/SUM(AE$62:AE$66)</f>
        <v>0.38604651162790699</v>
      </c>
      <c r="AI63" s="102"/>
      <c r="AJ63" s="102"/>
      <c r="AK63" s="50">
        <f t="shared" ref="AK63:AK64" si="134">IF(MAX(AH$62:AH$64)=AH63,IF(AH63&gt;=0.7,1,IF(AH63&gt;=0.6,2,IF(AH63&gt;=0.5,3,IF(AH63&gt;=0.4,4,5)))),0)</f>
        <v>5</v>
      </c>
      <c r="AL63" s="124"/>
      <c r="AM63" s="98" t="str">
        <f>金湖鎮!B23</f>
        <v>②李炷烽</v>
      </c>
      <c r="AN63" s="99"/>
      <c r="AO63" s="99"/>
      <c r="AP63" s="100">
        <f>金湖鎮!D23</f>
        <v>321</v>
      </c>
      <c r="AQ63" s="110">
        <f>金湖鎮!D23</f>
        <v>321</v>
      </c>
      <c r="AR63" s="111"/>
      <c r="AS63" s="112"/>
      <c r="AT63" s="101">
        <f t="shared" ref="AT63:AT66" si="135">AQ63/SUM(AQ$62:AQ$66)</f>
        <v>0.48932926829268292</v>
      </c>
      <c r="AU63" s="102"/>
      <c r="AV63" s="102"/>
      <c r="AW63" s="50">
        <f t="shared" ref="AW63:AW64" si="136">IF(MAX(AT$62:AT$64)=AT63,IF(AT63&gt;=0.7,1,IF(AT63&gt;=0.6,2,IF(AT63&gt;=0.5,3,IF(AT63&gt;=0.4,4,5)))),0)</f>
        <v>4</v>
      </c>
      <c r="AX63" s="169"/>
      <c r="AY63" s="109" t="str">
        <f>烈嶼鄉!B23</f>
        <v>②李炷烽</v>
      </c>
      <c r="AZ63" s="102"/>
      <c r="BA63" s="102"/>
      <c r="BB63" s="102">
        <f>烈嶼鄉!D23</f>
        <v>113</v>
      </c>
      <c r="BC63" s="110">
        <f>烈嶼鄉!D23</f>
        <v>113</v>
      </c>
      <c r="BD63" s="111"/>
      <c r="BE63" s="112"/>
      <c r="BF63" s="101">
        <f t="shared" ref="BF63:BF66" si="137">BC63/SUM(BC$62:BC$66)</f>
        <v>0.44488188976377951</v>
      </c>
      <c r="BG63" s="102"/>
      <c r="BH63" s="102"/>
      <c r="BI63" s="39">
        <f t="shared" ref="BI63:BI64" si="138">IF(MAX(BF$62:BF$64)=BF63,IF(BF63&gt;=0.7,1,IF(BF63&gt;=0.6,2,IF(BF63&gt;=0.5,3,IF(BF63&gt;=0.4,4,5)))),0)</f>
        <v>4</v>
      </c>
    </row>
    <row r="64" spans="2:61" ht="18" customHeight="1">
      <c r="B64" s="124"/>
      <c r="C64" s="109" t="str">
        <f>金寧鄉!B24</f>
        <v>③黃積軍</v>
      </c>
      <c r="D64" s="102"/>
      <c r="E64" s="102"/>
      <c r="F64" s="102"/>
      <c r="G64" s="110">
        <f>金寧鄉!D24</f>
        <v>5</v>
      </c>
      <c r="H64" s="111"/>
      <c r="I64" s="112"/>
      <c r="J64" s="101">
        <f t="shared" si="129"/>
        <v>7.1428571428571426E-3</v>
      </c>
      <c r="K64" s="102"/>
      <c r="L64" s="102"/>
      <c r="M64" s="50">
        <f t="shared" si="130"/>
        <v>0</v>
      </c>
      <c r="N64" s="124"/>
      <c r="O64" s="109" t="str">
        <f>金城鎮!B24</f>
        <v>③黃積軍</v>
      </c>
      <c r="P64" s="102"/>
      <c r="Q64" s="102"/>
      <c r="R64" s="102">
        <f>金城鎮!D24</f>
        <v>6</v>
      </c>
      <c r="S64" s="110">
        <f>金城鎮!D24</f>
        <v>6</v>
      </c>
      <c r="T64" s="111"/>
      <c r="U64" s="112"/>
      <c r="V64" s="101">
        <f t="shared" si="131"/>
        <v>8.9153046062407128E-3</v>
      </c>
      <c r="W64" s="102"/>
      <c r="X64" s="102"/>
      <c r="Y64" s="51">
        <f t="shared" si="132"/>
        <v>0</v>
      </c>
      <c r="Z64" s="124"/>
      <c r="AA64" s="98" t="str">
        <f>金沙鎮!B24</f>
        <v>③黃積軍</v>
      </c>
      <c r="AB64" s="99"/>
      <c r="AC64" s="99"/>
      <c r="AD64" s="100">
        <f>金沙鎮!D24</f>
        <v>6</v>
      </c>
      <c r="AE64" s="110">
        <f>金沙鎮!D24</f>
        <v>6</v>
      </c>
      <c r="AF64" s="111"/>
      <c r="AG64" s="112"/>
      <c r="AH64" s="101">
        <f t="shared" si="133"/>
        <v>1.3953488372093023E-2</v>
      </c>
      <c r="AI64" s="102"/>
      <c r="AJ64" s="102"/>
      <c r="AK64" s="50">
        <f t="shared" si="134"/>
        <v>0</v>
      </c>
      <c r="AL64" s="124"/>
      <c r="AM64" s="98" t="str">
        <f>金湖鎮!B24</f>
        <v>③黃積軍</v>
      </c>
      <c r="AN64" s="99"/>
      <c r="AO64" s="99"/>
      <c r="AP64" s="100">
        <f>金湖鎮!D24</f>
        <v>8</v>
      </c>
      <c r="AQ64" s="110">
        <f>金湖鎮!D24</f>
        <v>8</v>
      </c>
      <c r="AR64" s="111"/>
      <c r="AS64" s="112"/>
      <c r="AT64" s="101">
        <f t="shared" si="135"/>
        <v>1.2195121951219513E-2</v>
      </c>
      <c r="AU64" s="102"/>
      <c r="AV64" s="102"/>
      <c r="AW64" s="50">
        <f t="shared" si="136"/>
        <v>0</v>
      </c>
      <c r="AX64" s="169"/>
      <c r="AY64" s="109" t="str">
        <f>烈嶼鄉!B24</f>
        <v>③黃積軍</v>
      </c>
      <c r="AZ64" s="102"/>
      <c r="BA64" s="102"/>
      <c r="BB64" s="102">
        <f>烈嶼鄉!D24</f>
        <v>6</v>
      </c>
      <c r="BC64" s="110">
        <f>烈嶼鄉!D24</f>
        <v>6</v>
      </c>
      <c r="BD64" s="111"/>
      <c r="BE64" s="112"/>
      <c r="BF64" s="101">
        <f t="shared" si="137"/>
        <v>2.3622047244094488E-2</v>
      </c>
      <c r="BG64" s="102"/>
      <c r="BH64" s="102"/>
      <c r="BI64" s="39">
        <f t="shared" si="138"/>
        <v>0</v>
      </c>
    </row>
    <row r="65" spans="2:61" ht="18" customHeight="1">
      <c r="B65" s="125"/>
      <c r="C65" s="109" t="str">
        <f>金寧鄉!B25</f>
        <v>④楊肅元</v>
      </c>
      <c r="D65" s="102"/>
      <c r="E65" s="102"/>
      <c r="F65" s="102"/>
      <c r="G65" s="110">
        <f>金寧鄉!D25</f>
        <v>138</v>
      </c>
      <c r="H65" s="111"/>
      <c r="I65" s="112"/>
      <c r="J65" s="101">
        <f t="shared" si="129"/>
        <v>0.19714285714285715</v>
      </c>
      <c r="K65" s="102"/>
      <c r="L65" s="102"/>
      <c r="M65" s="50">
        <f t="shared" ref="M65:M66" si="139">IF(MAX(J$62:J$64)=J65,IF(J65&gt;=0.7,1,IF(J65&gt;=0.6,2,IF(J65&gt;=0.5,3,IF(J65&gt;=0.4,4,5)))),0)</f>
        <v>0</v>
      </c>
      <c r="N65" s="125"/>
      <c r="O65" s="109" t="str">
        <f>金城鎮!B25</f>
        <v>④楊肅元</v>
      </c>
      <c r="P65" s="102"/>
      <c r="Q65" s="102"/>
      <c r="R65" s="102">
        <f>金城鎮!D25</f>
        <v>227</v>
      </c>
      <c r="S65" s="110">
        <f>金城鎮!D25</f>
        <v>227</v>
      </c>
      <c r="T65" s="111"/>
      <c r="U65" s="112"/>
      <c r="V65" s="101">
        <f t="shared" si="131"/>
        <v>0.33729569093610701</v>
      </c>
      <c r="W65" s="102"/>
      <c r="X65" s="102"/>
      <c r="Y65" s="51">
        <f t="shared" ref="Y65:Y66" si="140">IF(MAX(V$62:V$64)=V65,IF(V65&gt;=0.7,1,IF(V65&gt;=0.6,2,IF(V65&gt;=0.5,3,IF(V65&gt;=0.4,4,5)))),0)</f>
        <v>0</v>
      </c>
      <c r="Z65" s="125"/>
      <c r="AA65" s="98" t="str">
        <f>金沙鎮!B25</f>
        <v>④楊肅元</v>
      </c>
      <c r="AB65" s="99"/>
      <c r="AC65" s="99"/>
      <c r="AD65" s="100">
        <f>金沙鎮!D25</f>
        <v>70</v>
      </c>
      <c r="AE65" s="110">
        <f>金沙鎮!D25</f>
        <v>70</v>
      </c>
      <c r="AF65" s="111"/>
      <c r="AG65" s="112"/>
      <c r="AH65" s="101">
        <f t="shared" si="133"/>
        <v>0.16279069767441862</v>
      </c>
      <c r="AI65" s="102"/>
      <c r="AJ65" s="102"/>
      <c r="AK65" s="50">
        <f t="shared" ref="AK65:AK66" si="141">IF(MAX(AH$62:AH$64)=AH65,IF(AH65&gt;=0.7,1,IF(AH65&gt;=0.6,2,IF(AH65&gt;=0.5,3,IF(AH65&gt;=0.4,4,5)))),0)</f>
        <v>0</v>
      </c>
      <c r="AL65" s="125"/>
      <c r="AM65" s="98" t="str">
        <f>金湖鎮!B25</f>
        <v>④楊肅元</v>
      </c>
      <c r="AN65" s="99"/>
      <c r="AO65" s="99"/>
      <c r="AP65" s="100">
        <f>金湖鎮!D25</f>
        <v>167</v>
      </c>
      <c r="AQ65" s="110">
        <f>金湖鎮!D25</f>
        <v>167</v>
      </c>
      <c r="AR65" s="111"/>
      <c r="AS65" s="112"/>
      <c r="AT65" s="101">
        <f t="shared" si="135"/>
        <v>0.25457317073170732</v>
      </c>
      <c r="AU65" s="102"/>
      <c r="AV65" s="102"/>
      <c r="AW65" s="50">
        <f t="shared" ref="AW65:AW66" si="142">IF(MAX(AT$62:AT$64)=AT65,IF(AT65&gt;=0.7,1,IF(AT65&gt;=0.6,2,IF(AT65&gt;=0.5,3,IF(AT65&gt;=0.4,4,5)))),0)</f>
        <v>0</v>
      </c>
      <c r="AX65" s="169"/>
      <c r="AY65" s="109" t="str">
        <f>烈嶼鄉!B25</f>
        <v>④楊肅元</v>
      </c>
      <c r="AZ65" s="102"/>
      <c r="BA65" s="102"/>
      <c r="BB65" s="102">
        <f>烈嶼鄉!D25</f>
        <v>38</v>
      </c>
      <c r="BC65" s="110">
        <f>烈嶼鄉!D25</f>
        <v>38</v>
      </c>
      <c r="BD65" s="111"/>
      <c r="BE65" s="112"/>
      <c r="BF65" s="101">
        <f t="shared" si="137"/>
        <v>0.14960629921259844</v>
      </c>
      <c r="BG65" s="102"/>
      <c r="BH65" s="102"/>
      <c r="BI65" s="39">
        <f t="shared" ref="BI65:BI66" si="143">IF(MAX(BF$62:BF$64)=BF65,IF(BF65&gt;=0.7,1,IF(BF65&gt;=0.6,2,IF(BF65&gt;=0.5,3,IF(BF65&gt;=0.4,4,5)))),0)</f>
        <v>0</v>
      </c>
    </row>
    <row r="66" spans="2:61" ht="18" customHeight="1">
      <c r="B66" s="126"/>
      <c r="C66" s="109" t="str">
        <f>金寧鄉!B26</f>
        <v>⑤翟美玉</v>
      </c>
      <c r="D66" s="102"/>
      <c r="E66" s="102"/>
      <c r="F66" s="102"/>
      <c r="G66" s="110">
        <f>金寧鄉!D26</f>
        <v>176</v>
      </c>
      <c r="H66" s="111"/>
      <c r="I66" s="112"/>
      <c r="J66" s="101">
        <f t="shared" si="129"/>
        <v>0.25142857142857145</v>
      </c>
      <c r="K66" s="102"/>
      <c r="L66" s="102"/>
      <c r="M66" s="50">
        <f t="shared" si="139"/>
        <v>0</v>
      </c>
      <c r="N66" s="126"/>
      <c r="O66" s="109" t="str">
        <f>金城鎮!B26</f>
        <v>⑤翟美玉</v>
      </c>
      <c r="P66" s="102"/>
      <c r="Q66" s="102"/>
      <c r="R66" s="102">
        <f>金城鎮!D26</f>
        <v>179</v>
      </c>
      <c r="S66" s="110">
        <f>金城鎮!D26</f>
        <v>179</v>
      </c>
      <c r="T66" s="111"/>
      <c r="U66" s="112"/>
      <c r="V66" s="101">
        <f t="shared" si="131"/>
        <v>0.26597325408618128</v>
      </c>
      <c r="W66" s="102"/>
      <c r="X66" s="102"/>
      <c r="Y66" s="51">
        <f t="shared" si="140"/>
        <v>0</v>
      </c>
      <c r="Z66" s="126"/>
      <c r="AA66" s="98" t="str">
        <f>金沙鎮!B26</f>
        <v>⑤翟美玉</v>
      </c>
      <c r="AB66" s="99"/>
      <c r="AC66" s="99"/>
      <c r="AD66" s="100">
        <f>金沙鎮!D26</f>
        <v>174</v>
      </c>
      <c r="AE66" s="110">
        <f>金沙鎮!D26</f>
        <v>174</v>
      </c>
      <c r="AF66" s="111"/>
      <c r="AG66" s="112"/>
      <c r="AH66" s="101">
        <f t="shared" si="133"/>
        <v>0.40465116279069768</v>
      </c>
      <c r="AI66" s="102"/>
      <c r="AJ66" s="102"/>
      <c r="AK66" s="50">
        <f t="shared" si="141"/>
        <v>0</v>
      </c>
      <c r="AL66" s="126"/>
      <c r="AM66" s="98" t="str">
        <f>金湖鎮!B26</f>
        <v>⑤翟美玉</v>
      </c>
      <c r="AN66" s="99"/>
      <c r="AO66" s="99"/>
      <c r="AP66" s="100">
        <f>金湖鎮!D26</f>
        <v>141</v>
      </c>
      <c r="AQ66" s="110">
        <f>金湖鎮!D26</f>
        <v>141</v>
      </c>
      <c r="AR66" s="111"/>
      <c r="AS66" s="112"/>
      <c r="AT66" s="101">
        <f t="shared" si="135"/>
        <v>0.2149390243902439</v>
      </c>
      <c r="AU66" s="102"/>
      <c r="AV66" s="102"/>
      <c r="AW66" s="50">
        <f t="shared" si="142"/>
        <v>0</v>
      </c>
      <c r="AX66" s="169"/>
      <c r="AY66" s="109" t="str">
        <f>烈嶼鄉!B26</f>
        <v>⑤翟美玉</v>
      </c>
      <c r="AZ66" s="102"/>
      <c r="BA66" s="102"/>
      <c r="BB66" s="102">
        <f>烈嶼鄉!D26</f>
        <v>91</v>
      </c>
      <c r="BC66" s="110">
        <f>烈嶼鄉!D26</f>
        <v>91</v>
      </c>
      <c r="BD66" s="111"/>
      <c r="BE66" s="112"/>
      <c r="BF66" s="101">
        <f t="shared" si="137"/>
        <v>0.35826771653543305</v>
      </c>
      <c r="BG66" s="102"/>
      <c r="BH66" s="102"/>
      <c r="BI66" s="39">
        <f t="shared" si="143"/>
        <v>0</v>
      </c>
    </row>
    <row r="67" spans="2:61" ht="18" customHeight="1">
      <c r="B67" s="170" t="s">
        <v>15</v>
      </c>
      <c r="C67" s="103" t="str">
        <f>金寧鄉!B27</f>
        <v>①吳炎成</v>
      </c>
      <c r="D67" s="104"/>
      <c r="E67" s="104"/>
      <c r="F67" s="104"/>
      <c r="G67" s="105">
        <f>金寧鄉!D27</f>
        <v>8</v>
      </c>
      <c r="H67" s="111"/>
      <c r="I67" s="112"/>
      <c r="J67" s="108">
        <f>G67/SUM(G$67:G$71)</f>
        <v>1.3816925734024179E-2</v>
      </c>
      <c r="K67" s="104"/>
      <c r="L67" s="104"/>
      <c r="M67" s="50">
        <f>IF(MAX(J$67:J$69)=J67,IF(J67&gt;=0.7,1,IF(J67&gt;=0.6,2,IF(J67&gt;=0.5,3,IF(J67&gt;=0.4,4,5)))),0)</f>
        <v>0</v>
      </c>
      <c r="N67" s="167" t="s">
        <v>21</v>
      </c>
      <c r="O67" s="103" t="str">
        <f>金城鎮!B27</f>
        <v>①吳炎成</v>
      </c>
      <c r="P67" s="104"/>
      <c r="Q67" s="104"/>
      <c r="R67" s="104">
        <f>金城鎮!D27</f>
        <v>3</v>
      </c>
      <c r="S67" s="105">
        <f>金城鎮!D27</f>
        <v>3</v>
      </c>
      <c r="T67" s="106"/>
      <c r="U67" s="107"/>
      <c r="V67" s="108">
        <f>S67/SUM(S$67:S$71)</f>
        <v>7.8534031413612562E-3</v>
      </c>
      <c r="W67" s="104"/>
      <c r="X67" s="104"/>
      <c r="Y67" s="51">
        <f>IF(MAX(V$67:V$69)=V67,IF(V67&gt;=0.7,1,IF(V67&gt;=0.6,2,IF(V67&gt;=0.5,3,IF(V67&gt;=0.4,4,5)))),0)</f>
        <v>0</v>
      </c>
      <c r="Z67" s="167" t="s">
        <v>84</v>
      </c>
      <c r="AA67" s="113" t="str">
        <f>金沙鎮!B27</f>
        <v>①吳炎成</v>
      </c>
      <c r="AB67" s="114"/>
      <c r="AC67" s="114"/>
      <c r="AD67" s="115">
        <f>金沙鎮!D27</f>
        <v>8</v>
      </c>
      <c r="AE67" s="105">
        <f>金沙鎮!D27</f>
        <v>8</v>
      </c>
      <c r="AF67" s="106"/>
      <c r="AG67" s="107"/>
      <c r="AH67" s="108">
        <f>AE67/SUM(AE$67:AE$71)</f>
        <v>2.7777777777777776E-2</v>
      </c>
      <c r="AI67" s="104"/>
      <c r="AJ67" s="104"/>
      <c r="AK67" s="50">
        <f>IF(MAX(AH$67:AH$69)=AH67,IF(AH67&gt;=0.7,1,IF(AH67&gt;=0.6,2,IF(AH67&gt;=0.5,3,IF(AH67&gt;=0.4,4,5)))),0)</f>
        <v>0</v>
      </c>
      <c r="AL67" s="167" t="s">
        <v>92</v>
      </c>
      <c r="AM67" s="113" t="str">
        <f>金湖鎮!B27</f>
        <v>①吳炎成</v>
      </c>
      <c r="AN67" s="114"/>
      <c r="AO67" s="114"/>
      <c r="AP67" s="115">
        <f>金湖鎮!D27</f>
        <v>25</v>
      </c>
      <c r="AQ67" s="105">
        <f>金湖鎮!D27</f>
        <v>25</v>
      </c>
      <c r="AR67" s="106"/>
      <c r="AS67" s="107"/>
      <c r="AT67" s="108">
        <f>AQ67/SUM(AQ$67:AQ$71)</f>
        <v>3.551136363636364E-2</v>
      </c>
      <c r="AU67" s="104"/>
      <c r="AV67" s="104"/>
      <c r="AW67" s="50">
        <f>IF(MAX(AT$67:AT$69)=AT67,IF(AT67&gt;=0.7,1,IF(AT67&gt;=0.6,2,IF(AT67&gt;=0.5,3,IF(AT67&gt;=0.4,4,5)))),0)</f>
        <v>0</v>
      </c>
      <c r="AX67" s="48"/>
      <c r="AY67" s="48"/>
      <c r="AZ67" s="48"/>
      <c r="BA67" s="48"/>
      <c r="BB67" s="48"/>
      <c r="BC67" s="48"/>
      <c r="BD67" s="48"/>
      <c r="BE67" s="48"/>
      <c r="BF67" s="48"/>
      <c r="BG67" s="48"/>
      <c r="BH67" s="48"/>
      <c r="BI67" s="6"/>
    </row>
    <row r="68" spans="2:61" ht="18" customHeight="1">
      <c r="B68" s="169"/>
      <c r="C68" s="103" t="str">
        <f>金寧鄉!B28</f>
        <v>②李炷烽</v>
      </c>
      <c r="D68" s="104"/>
      <c r="E68" s="104"/>
      <c r="F68" s="104"/>
      <c r="G68" s="105">
        <f>金寧鄉!D28</f>
        <v>313</v>
      </c>
      <c r="H68" s="111"/>
      <c r="I68" s="112"/>
      <c r="J68" s="108">
        <f t="shared" ref="J68:J71" si="144">G68/SUM(G$67:G$71)</f>
        <v>0.54058721934369602</v>
      </c>
      <c r="K68" s="104"/>
      <c r="L68" s="104"/>
      <c r="M68" s="50">
        <f t="shared" ref="M68:M69" si="145">IF(MAX(J$67:J$69)=J68,IF(J68&gt;=0.7,1,IF(J68&gt;=0.6,2,IF(J68&gt;=0.5,3,IF(J68&gt;=0.4,4,5)))),0)</f>
        <v>3</v>
      </c>
      <c r="N68" s="124"/>
      <c r="O68" s="103" t="str">
        <f>金城鎮!B28</f>
        <v>②李炷烽</v>
      </c>
      <c r="P68" s="104"/>
      <c r="Q68" s="104"/>
      <c r="R68" s="104">
        <f>金城鎮!D28</f>
        <v>166</v>
      </c>
      <c r="S68" s="105">
        <f>金城鎮!D28</f>
        <v>166</v>
      </c>
      <c r="T68" s="106"/>
      <c r="U68" s="107"/>
      <c r="V68" s="108">
        <f t="shared" ref="V68:V71" si="146">S68/SUM(S$67:S$71)</f>
        <v>0.43455497382198954</v>
      </c>
      <c r="W68" s="104"/>
      <c r="X68" s="104"/>
      <c r="Y68" s="51">
        <f t="shared" ref="Y68:Y69" si="147">IF(MAX(V$67:V$69)=V68,IF(V68&gt;=0.7,1,IF(V68&gt;=0.6,2,IF(V68&gt;=0.5,3,IF(V68&gt;=0.4,4,5)))),0)</f>
        <v>4</v>
      </c>
      <c r="Z68" s="124"/>
      <c r="AA68" s="113" t="str">
        <f>金沙鎮!B28</f>
        <v>②李炷烽</v>
      </c>
      <c r="AB68" s="114"/>
      <c r="AC68" s="114"/>
      <c r="AD68" s="115">
        <f>金沙鎮!D28</f>
        <v>136</v>
      </c>
      <c r="AE68" s="105">
        <f>金沙鎮!D28</f>
        <v>136</v>
      </c>
      <c r="AF68" s="106"/>
      <c r="AG68" s="107"/>
      <c r="AH68" s="108">
        <f t="shared" ref="AH68:AH71" si="148">AE68/SUM(AE$67:AE$71)</f>
        <v>0.47222222222222221</v>
      </c>
      <c r="AI68" s="104"/>
      <c r="AJ68" s="104"/>
      <c r="AK68" s="50">
        <f t="shared" ref="AK68:AK69" si="149">IF(MAX(AH$67:AH$69)=AH68,IF(AH68&gt;=0.7,1,IF(AH68&gt;=0.6,2,IF(AH68&gt;=0.5,3,IF(AH68&gt;=0.4,4,5)))),0)</f>
        <v>4</v>
      </c>
      <c r="AL68" s="124"/>
      <c r="AM68" s="113" t="str">
        <f>金湖鎮!B28</f>
        <v>②李炷烽</v>
      </c>
      <c r="AN68" s="114"/>
      <c r="AO68" s="114"/>
      <c r="AP68" s="115">
        <f>金湖鎮!D28</f>
        <v>348</v>
      </c>
      <c r="AQ68" s="105">
        <f>金湖鎮!D28</f>
        <v>348</v>
      </c>
      <c r="AR68" s="106"/>
      <c r="AS68" s="107"/>
      <c r="AT68" s="108">
        <f t="shared" ref="AT68:AT71" si="150">AQ68/SUM(AQ$67:AQ$71)</f>
        <v>0.49431818181818182</v>
      </c>
      <c r="AU68" s="104"/>
      <c r="AV68" s="104"/>
      <c r="AW68" s="50">
        <f t="shared" ref="AW68:AW69" si="151">IF(MAX(AT$67:AT$69)=AT68,IF(AT68&gt;=0.7,1,IF(AT68&gt;=0.6,2,IF(AT68&gt;=0.5,3,IF(AT68&gt;=0.4,4,5)))),0)</f>
        <v>4</v>
      </c>
      <c r="AX68" s="128" t="s">
        <v>6</v>
      </c>
      <c r="AY68" s="129"/>
      <c r="AZ68" s="129"/>
      <c r="BA68" s="129"/>
      <c r="BB68" s="129"/>
      <c r="BC68" s="129"/>
      <c r="BD68" s="129"/>
      <c r="BE68" s="129"/>
      <c r="BF68" s="129"/>
      <c r="BG68" s="129"/>
      <c r="BH68" s="130"/>
      <c r="BI68" s="6"/>
    </row>
    <row r="69" spans="2:61" ht="18" customHeight="1">
      <c r="B69" s="169"/>
      <c r="C69" s="103" t="str">
        <f>金寧鄉!B29</f>
        <v>③黃積軍</v>
      </c>
      <c r="D69" s="104"/>
      <c r="E69" s="104"/>
      <c r="F69" s="104"/>
      <c r="G69" s="105">
        <f>金寧鄉!D29</f>
        <v>1</v>
      </c>
      <c r="H69" s="111"/>
      <c r="I69" s="112"/>
      <c r="J69" s="108">
        <f t="shared" si="144"/>
        <v>1.7271157167530224E-3</v>
      </c>
      <c r="K69" s="104"/>
      <c r="L69" s="104"/>
      <c r="M69" s="50">
        <f t="shared" si="145"/>
        <v>0</v>
      </c>
      <c r="N69" s="124"/>
      <c r="O69" s="103" t="str">
        <f>金城鎮!B29</f>
        <v>③黃積軍</v>
      </c>
      <c r="P69" s="104"/>
      <c r="Q69" s="104"/>
      <c r="R69" s="104">
        <f>金城鎮!D29</f>
        <v>33</v>
      </c>
      <c r="S69" s="105">
        <f>金城鎮!D29</f>
        <v>33</v>
      </c>
      <c r="T69" s="106"/>
      <c r="U69" s="107"/>
      <c r="V69" s="108">
        <f t="shared" si="146"/>
        <v>8.6387434554973816E-2</v>
      </c>
      <c r="W69" s="104"/>
      <c r="X69" s="104"/>
      <c r="Y69" s="51">
        <f t="shared" si="147"/>
        <v>0</v>
      </c>
      <c r="Z69" s="124"/>
      <c r="AA69" s="113" t="str">
        <f>金沙鎮!B29</f>
        <v>③黃積軍</v>
      </c>
      <c r="AB69" s="114"/>
      <c r="AC69" s="114"/>
      <c r="AD69" s="115">
        <f>金沙鎮!D29</f>
        <v>9</v>
      </c>
      <c r="AE69" s="105">
        <f>金沙鎮!D29</f>
        <v>9</v>
      </c>
      <c r="AF69" s="106"/>
      <c r="AG69" s="107"/>
      <c r="AH69" s="108">
        <f t="shared" si="148"/>
        <v>3.125E-2</v>
      </c>
      <c r="AI69" s="104"/>
      <c r="AJ69" s="104"/>
      <c r="AK69" s="50">
        <f t="shared" si="149"/>
        <v>0</v>
      </c>
      <c r="AL69" s="124"/>
      <c r="AM69" s="113" t="str">
        <f>金湖鎮!B29</f>
        <v>③黃積軍</v>
      </c>
      <c r="AN69" s="114"/>
      <c r="AO69" s="114"/>
      <c r="AP69" s="115">
        <f>金湖鎮!D29</f>
        <v>16</v>
      </c>
      <c r="AQ69" s="105">
        <f>金湖鎮!D29</f>
        <v>16</v>
      </c>
      <c r="AR69" s="106"/>
      <c r="AS69" s="107"/>
      <c r="AT69" s="108">
        <f t="shared" si="150"/>
        <v>2.2727272727272728E-2</v>
      </c>
      <c r="AU69" s="104"/>
      <c r="AV69" s="104"/>
      <c r="AW69" s="50">
        <f t="shared" si="151"/>
        <v>0</v>
      </c>
      <c r="AX69" s="123" t="s">
        <v>29</v>
      </c>
      <c r="AY69" s="109" t="str">
        <f>烏坵鄉!B2</f>
        <v>①吳炎成</v>
      </c>
      <c r="AZ69" s="102"/>
      <c r="BA69" s="102"/>
      <c r="BB69" s="102">
        <f>烏坵鄉!D2</f>
        <v>0</v>
      </c>
      <c r="BC69" s="110">
        <f>烏坵鄉!D2</f>
        <v>0</v>
      </c>
      <c r="BD69" s="137"/>
      <c r="BE69" s="138"/>
      <c r="BF69" s="101">
        <f>BC69/SUM(BC$69:BC$73)</f>
        <v>0</v>
      </c>
      <c r="BG69" s="102"/>
      <c r="BH69" s="102"/>
      <c r="BI69" s="39">
        <f>IF(MAX(BF$69:BF$71)=BF69,IF(BF69&gt;=0.7,1,IF(BF69&gt;=0.6,2,IF(BF69&gt;=0.5,3,IF(BF69&gt;=0.4,4,5)))),0)</f>
        <v>0</v>
      </c>
    </row>
    <row r="70" spans="2:61" ht="18" customHeight="1">
      <c r="B70" s="171"/>
      <c r="C70" s="103" t="str">
        <f>金寧鄉!B30</f>
        <v>④楊肅元</v>
      </c>
      <c r="D70" s="104"/>
      <c r="E70" s="104"/>
      <c r="F70" s="104"/>
      <c r="G70" s="105">
        <f>金寧鄉!D30</f>
        <v>113</v>
      </c>
      <c r="H70" s="111"/>
      <c r="I70" s="112"/>
      <c r="J70" s="108">
        <f t="shared" si="144"/>
        <v>0.19516407599309155</v>
      </c>
      <c r="K70" s="104"/>
      <c r="L70" s="104"/>
      <c r="M70" s="48"/>
      <c r="N70" s="125"/>
      <c r="O70" s="103" t="str">
        <f>金城鎮!B30</f>
        <v>④楊肅元</v>
      </c>
      <c r="P70" s="104"/>
      <c r="Q70" s="104"/>
      <c r="R70" s="104">
        <f>金城鎮!D30</f>
        <v>88</v>
      </c>
      <c r="S70" s="105">
        <f>金城鎮!D30</f>
        <v>88</v>
      </c>
      <c r="T70" s="106"/>
      <c r="U70" s="107"/>
      <c r="V70" s="108">
        <f t="shared" si="146"/>
        <v>0.23036649214659685</v>
      </c>
      <c r="W70" s="104"/>
      <c r="X70" s="104"/>
      <c r="Y70" s="51"/>
      <c r="Z70" s="125"/>
      <c r="AA70" s="113" t="str">
        <f>金沙鎮!B30</f>
        <v>④楊肅元</v>
      </c>
      <c r="AB70" s="114"/>
      <c r="AC70" s="114"/>
      <c r="AD70" s="115">
        <f>金沙鎮!D30</f>
        <v>53</v>
      </c>
      <c r="AE70" s="105">
        <f>金沙鎮!D30</f>
        <v>53</v>
      </c>
      <c r="AF70" s="106"/>
      <c r="AG70" s="107"/>
      <c r="AH70" s="108">
        <f t="shared" si="148"/>
        <v>0.18402777777777779</v>
      </c>
      <c r="AI70" s="104"/>
      <c r="AJ70" s="104"/>
      <c r="AK70" s="50"/>
      <c r="AL70" s="125"/>
      <c r="AM70" s="113" t="str">
        <f>金湖鎮!B30</f>
        <v>④楊肅元</v>
      </c>
      <c r="AN70" s="114"/>
      <c r="AO70" s="114"/>
      <c r="AP70" s="115">
        <f>金湖鎮!D30</f>
        <v>104</v>
      </c>
      <c r="AQ70" s="105">
        <f>金湖鎮!D30</f>
        <v>104</v>
      </c>
      <c r="AR70" s="106"/>
      <c r="AS70" s="107"/>
      <c r="AT70" s="108">
        <f t="shared" si="150"/>
        <v>0.14772727272727273</v>
      </c>
      <c r="AU70" s="104"/>
      <c r="AV70" s="104"/>
      <c r="AW70" s="50">
        <f>IF(MAX(AT$72:AT$74)=AT72,IF(AT72&gt;=0.7,1,IF(AT72&gt;=0.6,2,IF(AT72&gt;=0.5,3,IF(AT72&gt;=0.4,4,5)))),0)</f>
        <v>0</v>
      </c>
      <c r="AX70" s="155"/>
      <c r="AY70" s="109" t="str">
        <f>烏坵鄉!B3</f>
        <v>②李炷烽</v>
      </c>
      <c r="AZ70" s="102"/>
      <c r="BA70" s="102"/>
      <c r="BB70" s="102">
        <f>烏坵鄉!D3</f>
        <v>1</v>
      </c>
      <c r="BC70" s="110">
        <f>烏坵鄉!D3</f>
        <v>1</v>
      </c>
      <c r="BD70" s="137"/>
      <c r="BE70" s="138"/>
      <c r="BF70" s="101">
        <f>BC70/SUM(BC$69:BC$73)</f>
        <v>7.6923076923076927E-2</v>
      </c>
      <c r="BG70" s="102"/>
      <c r="BH70" s="102"/>
      <c r="BI70" s="39">
        <f t="shared" ref="BI70:BI71" si="152">IF(MAX(BF$69:BF$71)=BF70,IF(BF70&gt;=0.7,1,IF(BF70&gt;=0.6,2,IF(BF70&gt;=0.5,3,IF(BF70&gt;=0.4,4,5)))),0)</f>
        <v>5</v>
      </c>
    </row>
    <row r="71" spans="2:61" ht="18" customHeight="1">
      <c r="B71" s="171"/>
      <c r="C71" s="103" t="str">
        <f>金寧鄉!B31</f>
        <v>⑤翟美玉</v>
      </c>
      <c r="D71" s="104"/>
      <c r="E71" s="104"/>
      <c r="F71" s="104"/>
      <c r="G71" s="105">
        <f>金寧鄉!D31</f>
        <v>144</v>
      </c>
      <c r="H71" s="111"/>
      <c r="I71" s="112"/>
      <c r="J71" s="108">
        <f t="shared" si="144"/>
        <v>0.24870466321243523</v>
      </c>
      <c r="K71" s="104"/>
      <c r="L71" s="104"/>
      <c r="M71" s="48"/>
      <c r="N71" s="126"/>
      <c r="O71" s="103" t="str">
        <f>金城鎮!B31</f>
        <v>⑤翟美玉</v>
      </c>
      <c r="P71" s="104"/>
      <c r="Q71" s="104"/>
      <c r="R71" s="104">
        <f>金城鎮!D31</f>
        <v>92</v>
      </c>
      <c r="S71" s="105">
        <f>金城鎮!D31</f>
        <v>92</v>
      </c>
      <c r="T71" s="106"/>
      <c r="U71" s="107"/>
      <c r="V71" s="108">
        <f t="shared" si="146"/>
        <v>0.24083769633507854</v>
      </c>
      <c r="W71" s="104"/>
      <c r="X71" s="104"/>
      <c r="Y71" s="51"/>
      <c r="Z71" s="126"/>
      <c r="AA71" s="113" t="str">
        <f>金沙鎮!B31</f>
        <v>⑤翟美玉</v>
      </c>
      <c r="AB71" s="114"/>
      <c r="AC71" s="114"/>
      <c r="AD71" s="115">
        <f>金沙鎮!D31</f>
        <v>82</v>
      </c>
      <c r="AE71" s="105">
        <f>金沙鎮!D31</f>
        <v>82</v>
      </c>
      <c r="AF71" s="106"/>
      <c r="AG71" s="107"/>
      <c r="AH71" s="108">
        <f t="shared" si="148"/>
        <v>0.28472222222222221</v>
      </c>
      <c r="AI71" s="104"/>
      <c r="AJ71" s="104"/>
      <c r="AK71" s="50"/>
      <c r="AL71" s="126"/>
      <c r="AM71" s="113" t="str">
        <f>金湖鎮!B31</f>
        <v>⑤翟美玉</v>
      </c>
      <c r="AN71" s="114"/>
      <c r="AO71" s="114"/>
      <c r="AP71" s="115">
        <f>金湖鎮!D31</f>
        <v>211</v>
      </c>
      <c r="AQ71" s="105">
        <f>金湖鎮!D31</f>
        <v>211</v>
      </c>
      <c r="AR71" s="106"/>
      <c r="AS71" s="107"/>
      <c r="AT71" s="108">
        <f t="shared" si="150"/>
        <v>0.29971590909090912</v>
      </c>
      <c r="AU71" s="104"/>
      <c r="AV71" s="104"/>
      <c r="AW71" s="50">
        <f t="shared" ref="AW71:AW72" si="153">IF(MAX(AT$72:AT$74)=AT73,IF(AT73&gt;=0.7,1,IF(AT73&gt;=0.6,2,IF(AT73&gt;=0.5,3,IF(AT73&gt;=0.4,4,5)))),0)</f>
        <v>4</v>
      </c>
      <c r="AX71" s="155"/>
      <c r="AY71" s="109" t="str">
        <f>烏坵鄉!B4</f>
        <v>③黃積軍</v>
      </c>
      <c r="AZ71" s="102"/>
      <c r="BA71" s="102"/>
      <c r="BB71" s="102">
        <f>烏坵鄉!D4</f>
        <v>0</v>
      </c>
      <c r="BC71" s="110">
        <f>烏坵鄉!D4</f>
        <v>0</v>
      </c>
      <c r="BD71" s="137"/>
      <c r="BE71" s="138"/>
      <c r="BF71" s="101">
        <f>BC71/SUM(BC$69:BC$73)</f>
        <v>0</v>
      </c>
      <c r="BG71" s="102"/>
      <c r="BH71" s="102"/>
      <c r="BI71" s="39">
        <f t="shared" si="152"/>
        <v>0</v>
      </c>
    </row>
    <row r="72" spans="2:61" ht="18" customHeight="1">
      <c r="B72" s="48"/>
      <c r="C72" s="48"/>
      <c r="D72" s="48"/>
      <c r="E72" s="48"/>
      <c r="F72" s="48"/>
      <c r="G72" s="48"/>
      <c r="H72" s="48"/>
      <c r="I72" s="48"/>
      <c r="J72" s="48"/>
      <c r="K72" s="48"/>
      <c r="L72" s="48"/>
      <c r="M72" s="48"/>
      <c r="N72" s="123" t="s">
        <v>22</v>
      </c>
      <c r="O72" s="109" t="str">
        <f>金城鎮!B32</f>
        <v>①吳炎成</v>
      </c>
      <c r="P72" s="102"/>
      <c r="Q72" s="102"/>
      <c r="R72" s="102">
        <f>金城鎮!D32</f>
        <v>3</v>
      </c>
      <c r="S72" s="110">
        <f>金城鎮!D32</f>
        <v>3</v>
      </c>
      <c r="T72" s="111"/>
      <c r="U72" s="112"/>
      <c r="V72" s="101">
        <f>S72/SUM(S$72:S$76)</f>
        <v>9.6774193548387101E-3</v>
      </c>
      <c r="W72" s="102"/>
      <c r="X72" s="102"/>
      <c r="Y72" s="51">
        <f>IF(MAX(V$72:V$74)=V72,IF(V72&gt;=0.7,1,IF(V72&gt;=0.6,2,IF(V72&gt;=0.5,3,IF(V72&gt;=0.4,4,5)))),0)</f>
        <v>0</v>
      </c>
      <c r="Z72" s="123" t="s">
        <v>85</v>
      </c>
      <c r="AA72" s="98" t="str">
        <f>金沙鎮!B32</f>
        <v>①吳炎成</v>
      </c>
      <c r="AB72" s="99"/>
      <c r="AC72" s="99"/>
      <c r="AD72" s="100">
        <f>金沙鎮!D32</f>
        <v>1</v>
      </c>
      <c r="AE72" s="110">
        <f>金沙鎮!D32</f>
        <v>1</v>
      </c>
      <c r="AF72" s="111"/>
      <c r="AG72" s="112"/>
      <c r="AH72" s="101">
        <f>AE72/SUM(AE$72:AE$76)</f>
        <v>3.0120481927710845E-3</v>
      </c>
      <c r="AI72" s="102"/>
      <c r="AJ72" s="102"/>
      <c r="AK72" s="50">
        <f>IF(MAX(AH$72:AH$74)=AH72,IF(AH72&gt;=0.7,1,IF(AH72&gt;=0.6,2,IF(AH72&gt;=0.5,3,IF(AH72&gt;=0.4,4,5)))),0)</f>
        <v>0</v>
      </c>
      <c r="AL72" s="123" t="s">
        <v>93</v>
      </c>
      <c r="AM72" s="98" t="str">
        <f>金湖鎮!B32</f>
        <v>①吳炎成</v>
      </c>
      <c r="AN72" s="99"/>
      <c r="AO72" s="99"/>
      <c r="AP72" s="100">
        <f>金湖鎮!D32</f>
        <v>15</v>
      </c>
      <c r="AQ72" s="110">
        <f>金湖鎮!D32</f>
        <v>15</v>
      </c>
      <c r="AR72" s="111"/>
      <c r="AS72" s="112"/>
      <c r="AT72" s="101">
        <f>AQ72/SUM(AQ$72:AQ$76)</f>
        <v>4.6296296296296294E-2</v>
      </c>
      <c r="AU72" s="102"/>
      <c r="AV72" s="102"/>
      <c r="AW72" s="50">
        <f t="shared" si="153"/>
        <v>0</v>
      </c>
      <c r="AX72" s="124"/>
      <c r="AY72" s="109" t="str">
        <f>烏坵鄉!B5</f>
        <v>④楊肅元</v>
      </c>
      <c r="AZ72" s="102"/>
      <c r="BA72" s="102"/>
      <c r="BB72" s="102">
        <f>烏坵鄉!D5</f>
        <v>3</v>
      </c>
      <c r="BC72" s="110">
        <f>烏坵鄉!D5</f>
        <v>3</v>
      </c>
      <c r="BD72" s="137"/>
      <c r="BE72" s="138"/>
      <c r="BF72" s="101">
        <f>BC72/SUM(BC$69:BC$73)</f>
        <v>0.23076923076923078</v>
      </c>
      <c r="BG72" s="102"/>
      <c r="BH72" s="102"/>
      <c r="BI72" s="39">
        <f>IF(MAX(BF$72:BF$74)=BF72,IF(BF72&gt;=0.7,1,IF(BF72&gt;=0.6,2,IF(BF72&gt;=0.5,3,IF(BF72&gt;=0.4,4,5)))),0)</f>
        <v>0</v>
      </c>
    </row>
    <row r="73" spans="2:61" ht="18" customHeight="1">
      <c r="B73" s="48"/>
      <c r="C73" s="48"/>
      <c r="D73" s="48"/>
      <c r="E73" s="48"/>
      <c r="F73" s="48"/>
      <c r="G73" s="48"/>
      <c r="H73" s="48"/>
      <c r="I73" s="48"/>
      <c r="J73" s="48"/>
      <c r="K73" s="48"/>
      <c r="L73" s="48"/>
      <c r="M73" s="48"/>
      <c r="N73" s="124"/>
      <c r="O73" s="109" t="str">
        <f>金城鎮!B33</f>
        <v>②李炷烽</v>
      </c>
      <c r="P73" s="102"/>
      <c r="Q73" s="102"/>
      <c r="R73" s="102">
        <f>金城鎮!D33</f>
        <v>156</v>
      </c>
      <c r="S73" s="110">
        <f>金城鎮!D33</f>
        <v>156</v>
      </c>
      <c r="T73" s="111"/>
      <c r="U73" s="112"/>
      <c r="V73" s="101">
        <f t="shared" ref="V73:V76" si="154">S73/SUM(S$72:S$76)</f>
        <v>0.50322580645161286</v>
      </c>
      <c r="W73" s="102"/>
      <c r="X73" s="102"/>
      <c r="Y73" s="51">
        <f t="shared" ref="Y73:Y74" si="155">IF(MAX(V$72:V$74)=V73,IF(V73&gt;=0.7,1,IF(V73&gt;=0.6,2,IF(V73&gt;=0.5,3,IF(V73&gt;=0.4,4,5)))),0)</f>
        <v>3</v>
      </c>
      <c r="Z73" s="124"/>
      <c r="AA73" s="98" t="str">
        <f>金沙鎮!B33</f>
        <v>②李炷烽</v>
      </c>
      <c r="AB73" s="99"/>
      <c r="AC73" s="99"/>
      <c r="AD73" s="100">
        <f>金沙鎮!D33</f>
        <v>73</v>
      </c>
      <c r="AE73" s="110">
        <f>金沙鎮!D33</f>
        <v>73</v>
      </c>
      <c r="AF73" s="111"/>
      <c r="AG73" s="112"/>
      <c r="AH73" s="101">
        <f t="shared" ref="AH73:AH76" si="156">AE73/SUM(AE$72:AE$76)</f>
        <v>0.21987951807228914</v>
      </c>
      <c r="AI73" s="102"/>
      <c r="AJ73" s="102"/>
      <c r="AK73" s="50">
        <f t="shared" ref="AK73:AK74" si="157">IF(MAX(AH$72:AH$74)=AH73,IF(AH73&gt;=0.7,1,IF(AH73&gt;=0.6,2,IF(AH73&gt;=0.5,3,IF(AH73&gt;=0.4,4,5)))),0)</f>
        <v>5</v>
      </c>
      <c r="AL73" s="124"/>
      <c r="AM73" s="98" t="str">
        <f>金湖鎮!B33</f>
        <v>②李炷烽</v>
      </c>
      <c r="AN73" s="99"/>
      <c r="AO73" s="99"/>
      <c r="AP73" s="100">
        <f>金湖鎮!D33</f>
        <v>157</v>
      </c>
      <c r="AQ73" s="110">
        <f>金湖鎮!D33</f>
        <v>157</v>
      </c>
      <c r="AR73" s="111"/>
      <c r="AS73" s="112"/>
      <c r="AT73" s="101">
        <f t="shared" ref="AT73:AT76" si="158">AQ73/SUM(AQ$72:AQ$76)</f>
        <v>0.48456790123456789</v>
      </c>
      <c r="AU73" s="102"/>
      <c r="AV73" s="102"/>
      <c r="AW73" s="50">
        <f>IF(MAX(AT$77:AT$79)=AT77,IF(AT77&gt;=0.7,1,IF(AT77&gt;=0.6,2,IF(AT77&gt;=0.5,3,IF(AT77&gt;=0.4,4,5)))),0)</f>
        <v>0</v>
      </c>
      <c r="AX73" s="124"/>
      <c r="AY73" s="109" t="str">
        <f>烏坵鄉!B6</f>
        <v>⑤翟美玉</v>
      </c>
      <c r="AZ73" s="102"/>
      <c r="BA73" s="102"/>
      <c r="BB73" s="102">
        <f>烏坵鄉!D6</f>
        <v>9</v>
      </c>
      <c r="BC73" s="110">
        <f>烏坵鄉!D6</f>
        <v>9</v>
      </c>
      <c r="BD73" s="137"/>
      <c r="BE73" s="138"/>
      <c r="BF73" s="101">
        <f>BC73/SUM(BC$69:BC$73)</f>
        <v>0.69230769230769229</v>
      </c>
      <c r="BG73" s="102"/>
      <c r="BH73" s="102"/>
      <c r="BI73" s="39">
        <f>IF(MAX(BF$72:BF$74)=BF73,IF(BF73&gt;=0.7,1,IF(BF73&gt;=0.6,2,IF(BF73&gt;=0.5,3,IF(BF73&gt;=0.4,4,5)))),0)</f>
        <v>2</v>
      </c>
    </row>
    <row r="74" spans="2:61" ht="18" customHeight="1">
      <c r="B74" s="48"/>
      <c r="C74" s="48"/>
      <c r="D74" s="48"/>
      <c r="E74" s="48"/>
      <c r="F74" s="48"/>
      <c r="G74" s="48"/>
      <c r="H74" s="48"/>
      <c r="I74" s="48"/>
      <c r="J74" s="48"/>
      <c r="K74" s="48"/>
      <c r="L74" s="48"/>
      <c r="M74" s="48"/>
      <c r="N74" s="124"/>
      <c r="O74" s="109" t="str">
        <f>金城鎮!B34</f>
        <v>③黃積軍</v>
      </c>
      <c r="P74" s="102"/>
      <c r="Q74" s="102"/>
      <c r="R74" s="102">
        <f>金城鎮!D34</f>
        <v>2</v>
      </c>
      <c r="S74" s="110">
        <f>金城鎮!D34</f>
        <v>2</v>
      </c>
      <c r="T74" s="111"/>
      <c r="U74" s="112"/>
      <c r="V74" s="101">
        <f t="shared" si="154"/>
        <v>6.4516129032258064E-3</v>
      </c>
      <c r="W74" s="102"/>
      <c r="X74" s="102"/>
      <c r="Y74" s="51">
        <f t="shared" si="155"/>
        <v>0</v>
      </c>
      <c r="Z74" s="124"/>
      <c r="AA74" s="98" t="str">
        <f>金沙鎮!B34</f>
        <v>③黃積軍</v>
      </c>
      <c r="AB74" s="99"/>
      <c r="AC74" s="99"/>
      <c r="AD74" s="100">
        <f>金沙鎮!D34</f>
        <v>2</v>
      </c>
      <c r="AE74" s="110">
        <f>金沙鎮!D34</f>
        <v>2</v>
      </c>
      <c r="AF74" s="111"/>
      <c r="AG74" s="112"/>
      <c r="AH74" s="101">
        <f t="shared" si="156"/>
        <v>6.024096385542169E-3</v>
      </c>
      <c r="AI74" s="102"/>
      <c r="AJ74" s="102"/>
      <c r="AK74" s="50">
        <f t="shared" si="157"/>
        <v>0</v>
      </c>
      <c r="AL74" s="124"/>
      <c r="AM74" s="98" t="str">
        <f>金湖鎮!B34</f>
        <v>③黃積軍</v>
      </c>
      <c r="AN74" s="99"/>
      <c r="AO74" s="99"/>
      <c r="AP74" s="100">
        <f>金湖鎮!D34</f>
        <v>5</v>
      </c>
      <c r="AQ74" s="110">
        <f>金湖鎮!D34</f>
        <v>5</v>
      </c>
      <c r="AR74" s="111"/>
      <c r="AS74" s="112"/>
      <c r="AT74" s="101">
        <f t="shared" si="158"/>
        <v>1.5432098765432098E-2</v>
      </c>
      <c r="AU74" s="102"/>
      <c r="AV74" s="102"/>
      <c r="AW74" s="50">
        <f t="shared" ref="AW74:AW75" si="159">IF(MAX(AT$77:AT$79)=AT78,IF(AT78&gt;=0.7,1,IF(AT78&gt;=0.6,2,IF(AT78&gt;=0.5,3,IF(AT78&gt;=0.4,4,5)))),0)</f>
        <v>5</v>
      </c>
      <c r="AX74" s="52"/>
      <c r="AY74" s="53"/>
      <c r="AZ74" s="54"/>
      <c r="BA74" s="54"/>
      <c r="BB74" s="54"/>
      <c r="BC74" s="55"/>
      <c r="BD74" s="56"/>
      <c r="BE74" s="57"/>
      <c r="BF74" s="58"/>
      <c r="BG74" s="54"/>
      <c r="BH74" s="54"/>
      <c r="BI74" s="39">
        <f>IF(MAX(BF$72:BF$74)=BF74,IF(BF74&gt;=0.7,1,IF(BF74&gt;=0.6,2,IF(BF74&gt;=0.5,3,IF(BF74&gt;=0.4,4,5)))),0)</f>
        <v>0</v>
      </c>
    </row>
    <row r="75" spans="2:61" ht="18" customHeight="1">
      <c r="B75" s="48"/>
      <c r="C75" s="48"/>
      <c r="D75" s="48"/>
      <c r="E75" s="48"/>
      <c r="F75" s="48"/>
      <c r="G75" s="48"/>
      <c r="H75" s="48"/>
      <c r="I75" s="48"/>
      <c r="J75" s="48"/>
      <c r="K75" s="48"/>
      <c r="L75" s="48"/>
      <c r="M75" s="48"/>
      <c r="N75" s="125"/>
      <c r="O75" s="109" t="str">
        <f>金城鎮!B35</f>
        <v>④楊肅元</v>
      </c>
      <c r="P75" s="102"/>
      <c r="Q75" s="102"/>
      <c r="R75" s="102">
        <f>金城鎮!D35</f>
        <v>76</v>
      </c>
      <c r="S75" s="110">
        <f>金城鎮!D35</f>
        <v>76</v>
      </c>
      <c r="T75" s="111"/>
      <c r="U75" s="112"/>
      <c r="V75" s="101">
        <f t="shared" si="154"/>
        <v>0.24516129032258063</v>
      </c>
      <c r="W75" s="102"/>
      <c r="X75" s="102"/>
      <c r="Y75" s="51"/>
      <c r="Z75" s="125"/>
      <c r="AA75" s="98" t="str">
        <f>金沙鎮!B35</f>
        <v>④楊肅元</v>
      </c>
      <c r="AB75" s="99"/>
      <c r="AC75" s="99"/>
      <c r="AD75" s="100">
        <f>金沙鎮!D35</f>
        <v>196</v>
      </c>
      <c r="AE75" s="110">
        <f>金沙鎮!D35</f>
        <v>196</v>
      </c>
      <c r="AF75" s="111"/>
      <c r="AG75" s="112"/>
      <c r="AH75" s="101">
        <f t="shared" si="156"/>
        <v>0.59036144578313254</v>
      </c>
      <c r="AI75" s="102"/>
      <c r="AJ75" s="102"/>
      <c r="AK75" s="50"/>
      <c r="AL75" s="125"/>
      <c r="AM75" s="98" t="str">
        <f>金湖鎮!B35</f>
        <v>④楊肅元</v>
      </c>
      <c r="AN75" s="99"/>
      <c r="AO75" s="99"/>
      <c r="AP75" s="100">
        <f>金湖鎮!D35</f>
        <v>62</v>
      </c>
      <c r="AQ75" s="110">
        <f>金湖鎮!D35</f>
        <v>62</v>
      </c>
      <c r="AR75" s="111"/>
      <c r="AS75" s="112"/>
      <c r="AT75" s="101">
        <f t="shared" si="158"/>
        <v>0.19135802469135801</v>
      </c>
      <c r="AU75" s="102"/>
      <c r="AV75" s="102"/>
      <c r="AW75" s="50">
        <f t="shared" si="159"/>
        <v>0</v>
      </c>
      <c r="AX75" s="59"/>
      <c r="AY75" s="59"/>
      <c r="AZ75" s="59"/>
      <c r="BA75" s="59"/>
      <c r="BB75" s="59"/>
      <c r="BC75" s="59"/>
      <c r="BD75" s="59"/>
      <c r="BE75" s="59"/>
      <c r="BF75" s="59"/>
      <c r="BG75" s="59"/>
      <c r="BH75" s="59"/>
    </row>
    <row r="76" spans="2:61" ht="18" customHeight="1">
      <c r="B76" s="48"/>
      <c r="C76" s="48"/>
      <c r="D76" s="48"/>
      <c r="E76" s="48"/>
      <c r="F76" s="48"/>
      <c r="G76" s="48"/>
      <c r="H76" s="48"/>
      <c r="I76" s="48"/>
      <c r="J76" s="48"/>
      <c r="K76" s="48"/>
      <c r="L76" s="48"/>
      <c r="M76" s="48"/>
      <c r="N76" s="126"/>
      <c r="O76" s="109" t="str">
        <f>金城鎮!B36</f>
        <v>⑤翟美玉</v>
      </c>
      <c r="P76" s="102"/>
      <c r="Q76" s="102"/>
      <c r="R76" s="102">
        <f>金城鎮!D36</f>
        <v>73</v>
      </c>
      <c r="S76" s="110">
        <f>金城鎮!D36</f>
        <v>73</v>
      </c>
      <c r="T76" s="111"/>
      <c r="U76" s="112"/>
      <c r="V76" s="101">
        <f t="shared" si="154"/>
        <v>0.23548387096774193</v>
      </c>
      <c r="W76" s="102"/>
      <c r="X76" s="102"/>
      <c r="Y76" s="51"/>
      <c r="Z76" s="126"/>
      <c r="AA76" s="98" t="str">
        <f>金沙鎮!B36</f>
        <v>⑤翟美玉</v>
      </c>
      <c r="AB76" s="99"/>
      <c r="AC76" s="99"/>
      <c r="AD76" s="100">
        <f>金沙鎮!D36</f>
        <v>60</v>
      </c>
      <c r="AE76" s="110">
        <f>金沙鎮!D36</f>
        <v>60</v>
      </c>
      <c r="AF76" s="111"/>
      <c r="AG76" s="112"/>
      <c r="AH76" s="101">
        <f t="shared" si="156"/>
        <v>0.18072289156626506</v>
      </c>
      <c r="AI76" s="102"/>
      <c r="AJ76" s="102"/>
      <c r="AK76" s="50"/>
      <c r="AL76" s="126"/>
      <c r="AM76" s="98" t="str">
        <f>金湖鎮!B36</f>
        <v>⑤翟美玉</v>
      </c>
      <c r="AN76" s="99"/>
      <c r="AO76" s="99"/>
      <c r="AP76" s="100">
        <f>金湖鎮!D36</f>
        <v>85</v>
      </c>
      <c r="AQ76" s="110">
        <f>金湖鎮!D36</f>
        <v>85</v>
      </c>
      <c r="AR76" s="111"/>
      <c r="AS76" s="112"/>
      <c r="AT76" s="101">
        <f t="shared" si="158"/>
        <v>0.26234567901234568</v>
      </c>
      <c r="AU76" s="102"/>
      <c r="AV76" s="102"/>
      <c r="AW76" s="48"/>
      <c r="AX76" s="59"/>
      <c r="AY76" s="59"/>
      <c r="AZ76" s="59"/>
      <c r="BA76" s="59"/>
      <c r="BB76" s="59"/>
      <c r="BC76" s="59"/>
      <c r="BD76" s="59"/>
      <c r="BE76" s="59"/>
      <c r="BF76" s="59"/>
      <c r="BG76" s="59"/>
      <c r="BH76" s="59"/>
    </row>
    <row r="77" spans="2:61" ht="18" customHeight="1">
      <c r="B77" s="48"/>
      <c r="C77" s="48"/>
      <c r="D77" s="48"/>
      <c r="E77" s="48"/>
      <c r="F77" s="48"/>
      <c r="G77" s="48"/>
      <c r="H77" s="48"/>
      <c r="I77" s="48"/>
      <c r="J77" s="48"/>
      <c r="K77" s="48"/>
      <c r="L77" s="48"/>
      <c r="M77" s="48"/>
      <c r="N77" s="170" t="s">
        <v>23</v>
      </c>
      <c r="O77" s="103" t="str">
        <f>金城鎮!B37</f>
        <v>①吳炎成</v>
      </c>
      <c r="P77" s="104"/>
      <c r="Q77" s="104"/>
      <c r="R77" s="104">
        <f>金城鎮!D37</f>
        <v>20</v>
      </c>
      <c r="S77" s="105">
        <f>金城鎮!D37</f>
        <v>20</v>
      </c>
      <c r="T77" s="106"/>
      <c r="U77" s="107"/>
      <c r="V77" s="108">
        <f>S77/SUM(S$77:S$81)</f>
        <v>3.4782608695652174E-2</v>
      </c>
      <c r="W77" s="104"/>
      <c r="X77" s="104"/>
      <c r="Y77" s="51">
        <f>IF(MAX(V$77:V$79)=V77,IF(V77&gt;=0.7,1,IF(V77&gt;=0.6,2,IF(V77&gt;=0.5,3,IF(V77&gt;=0.4,4,5)))),0)</f>
        <v>0</v>
      </c>
      <c r="Z77" s="170" t="s">
        <v>86</v>
      </c>
      <c r="AA77" s="113" t="str">
        <f>金沙鎮!B37</f>
        <v>①吳炎成</v>
      </c>
      <c r="AB77" s="114"/>
      <c r="AC77" s="114"/>
      <c r="AD77" s="115">
        <f>金沙鎮!D37</f>
        <v>9</v>
      </c>
      <c r="AE77" s="105">
        <f>金沙鎮!D37</f>
        <v>9</v>
      </c>
      <c r="AF77" s="106"/>
      <c r="AG77" s="107"/>
      <c r="AH77" s="108">
        <f>AE77/SUM(AE$77:AE$81)</f>
        <v>2.0501138952164009E-2</v>
      </c>
      <c r="AI77" s="104"/>
      <c r="AJ77" s="104"/>
      <c r="AK77" s="50">
        <f>IF(MAX(AH$77:AH$79)=AH77,IF(AH77&gt;=0.7,1,IF(AH77&gt;=0.6,2,IF(AH77&gt;=0.5,3,IF(AH77&gt;=0.4,4,5)))),0)</f>
        <v>0</v>
      </c>
      <c r="AL77" s="170" t="s">
        <v>94</v>
      </c>
      <c r="AM77" s="113" t="str">
        <f>金湖鎮!B37</f>
        <v>①吳炎成</v>
      </c>
      <c r="AN77" s="114"/>
      <c r="AO77" s="114"/>
      <c r="AP77" s="115">
        <f>金湖鎮!D37</f>
        <v>2</v>
      </c>
      <c r="AQ77" s="105">
        <f>金湖鎮!D37</f>
        <v>2</v>
      </c>
      <c r="AR77" s="106"/>
      <c r="AS77" s="107"/>
      <c r="AT77" s="108">
        <f>AQ77/SUM(AQ$77:AQ$81)</f>
        <v>6.4308681672025723E-3</v>
      </c>
      <c r="AU77" s="104"/>
      <c r="AV77" s="104"/>
      <c r="AW77" s="48"/>
      <c r="AX77" s="48"/>
      <c r="AY77" s="48"/>
      <c r="AZ77" s="48"/>
      <c r="BA77" s="48"/>
      <c r="BB77" s="48"/>
      <c r="BC77" s="48"/>
      <c r="BD77" s="48"/>
      <c r="BE77" s="48"/>
      <c r="BF77" s="48"/>
      <c r="BG77" s="48"/>
      <c r="BH77" s="48"/>
    </row>
    <row r="78" spans="2:61" ht="18" customHeight="1">
      <c r="B78" s="48"/>
      <c r="C78" s="48"/>
      <c r="D78" s="48"/>
      <c r="E78" s="48"/>
      <c r="F78" s="48"/>
      <c r="G78" s="48"/>
      <c r="H78" s="48"/>
      <c r="I78" s="48"/>
      <c r="J78" s="48"/>
      <c r="K78" s="48"/>
      <c r="L78" s="48"/>
      <c r="M78" s="48"/>
      <c r="N78" s="169"/>
      <c r="O78" s="103" t="str">
        <f>金城鎮!B38</f>
        <v>②李炷烽</v>
      </c>
      <c r="P78" s="104"/>
      <c r="Q78" s="104"/>
      <c r="R78" s="104">
        <f>金城鎮!D38</f>
        <v>337</v>
      </c>
      <c r="S78" s="105">
        <f>金城鎮!D38</f>
        <v>337</v>
      </c>
      <c r="T78" s="106"/>
      <c r="U78" s="107"/>
      <c r="V78" s="108">
        <f t="shared" ref="V78:V81" si="160">S78/SUM(S$77:S$81)</f>
        <v>0.58608695652173914</v>
      </c>
      <c r="W78" s="104"/>
      <c r="X78" s="104"/>
      <c r="Y78" s="51">
        <f t="shared" ref="Y78:Y79" si="161">IF(MAX(V$77:V$79)=V78,IF(V78&gt;=0.7,1,IF(V78&gt;=0.6,2,IF(V78&gt;=0.5,3,IF(V78&gt;=0.4,4,5)))),0)</f>
        <v>3</v>
      </c>
      <c r="Z78" s="169"/>
      <c r="AA78" s="113" t="str">
        <f>金沙鎮!B38</f>
        <v>②李炷烽</v>
      </c>
      <c r="AB78" s="114"/>
      <c r="AC78" s="114"/>
      <c r="AD78" s="115">
        <f>金沙鎮!D38</f>
        <v>243</v>
      </c>
      <c r="AE78" s="105">
        <f>金沙鎮!D38</f>
        <v>243</v>
      </c>
      <c r="AF78" s="106"/>
      <c r="AG78" s="107"/>
      <c r="AH78" s="120">
        <f t="shared" ref="AH78:AH81" si="162">AE78/SUM(AE$77:AE$81)</f>
        <v>0.55353075170842825</v>
      </c>
      <c r="AI78" s="121"/>
      <c r="AJ78" s="122"/>
      <c r="AK78" s="50">
        <f t="shared" ref="AK78:AK79" si="163">IF(MAX(AH$77:AH$79)=AH78,IF(AH78&gt;=0.7,1,IF(AH78&gt;=0.6,2,IF(AH78&gt;=0.5,3,IF(AH78&gt;=0.4,4,5)))),0)</f>
        <v>3</v>
      </c>
      <c r="AL78" s="169"/>
      <c r="AM78" s="113" t="str">
        <f>金湖鎮!B38</f>
        <v>②李炷烽</v>
      </c>
      <c r="AN78" s="114"/>
      <c r="AO78" s="114"/>
      <c r="AP78" s="115">
        <f>金湖鎮!D38</f>
        <v>121</v>
      </c>
      <c r="AQ78" s="105">
        <f>金湖鎮!D38</f>
        <v>121</v>
      </c>
      <c r="AR78" s="106"/>
      <c r="AS78" s="107"/>
      <c r="AT78" s="108">
        <f t="shared" ref="AT78:AT81" si="164">AQ78/SUM(AQ$77:AQ$81)</f>
        <v>0.38906752411575563</v>
      </c>
      <c r="AU78" s="104"/>
      <c r="AV78" s="104"/>
      <c r="AW78" s="48"/>
      <c r="AX78" s="48"/>
      <c r="AY78" s="48"/>
      <c r="AZ78" s="48"/>
      <c r="BA78" s="48"/>
      <c r="BB78" s="48"/>
      <c r="BC78" s="48"/>
      <c r="BD78" s="48"/>
      <c r="BE78" s="48"/>
      <c r="BF78" s="48"/>
      <c r="BG78" s="48"/>
      <c r="BH78" s="48"/>
    </row>
    <row r="79" spans="2:61" ht="18" customHeight="1">
      <c r="B79" s="48"/>
      <c r="C79" s="48"/>
      <c r="D79" s="48"/>
      <c r="E79" s="48"/>
      <c r="F79" s="48"/>
      <c r="G79" s="48"/>
      <c r="H79" s="48"/>
      <c r="I79" s="48"/>
      <c r="J79" s="48"/>
      <c r="K79" s="48"/>
      <c r="L79" s="48"/>
      <c r="M79" s="48"/>
      <c r="N79" s="169"/>
      <c r="O79" s="103" t="str">
        <f>金城鎮!B39</f>
        <v>③黃積軍</v>
      </c>
      <c r="P79" s="104"/>
      <c r="Q79" s="104"/>
      <c r="R79" s="104">
        <f>金城鎮!D39</f>
        <v>12</v>
      </c>
      <c r="S79" s="105">
        <f>金城鎮!D39</f>
        <v>12</v>
      </c>
      <c r="T79" s="106"/>
      <c r="U79" s="107"/>
      <c r="V79" s="108">
        <f t="shared" si="160"/>
        <v>2.0869565217391306E-2</v>
      </c>
      <c r="W79" s="104"/>
      <c r="X79" s="104"/>
      <c r="Y79" s="51">
        <f t="shared" si="161"/>
        <v>0</v>
      </c>
      <c r="Z79" s="169"/>
      <c r="AA79" s="113" t="str">
        <f>金沙鎮!B39</f>
        <v>③黃積軍</v>
      </c>
      <c r="AB79" s="114"/>
      <c r="AC79" s="114"/>
      <c r="AD79" s="115">
        <f>金沙鎮!D39</f>
        <v>5</v>
      </c>
      <c r="AE79" s="105">
        <f>金沙鎮!D39</f>
        <v>5</v>
      </c>
      <c r="AF79" s="106"/>
      <c r="AG79" s="107"/>
      <c r="AH79" s="120">
        <f t="shared" si="162"/>
        <v>1.1389521640091117E-2</v>
      </c>
      <c r="AI79" s="121"/>
      <c r="AJ79" s="122"/>
      <c r="AK79" s="50">
        <f t="shared" si="163"/>
        <v>0</v>
      </c>
      <c r="AL79" s="169"/>
      <c r="AM79" s="113" t="str">
        <f>金湖鎮!B39</f>
        <v>③黃積軍</v>
      </c>
      <c r="AN79" s="114"/>
      <c r="AO79" s="114"/>
      <c r="AP79" s="115">
        <f>金湖鎮!D39</f>
        <v>8</v>
      </c>
      <c r="AQ79" s="105">
        <f>金湖鎮!D39</f>
        <v>8</v>
      </c>
      <c r="AR79" s="106"/>
      <c r="AS79" s="107"/>
      <c r="AT79" s="108">
        <f t="shared" si="164"/>
        <v>2.5723472668810289E-2</v>
      </c>
      <c r="AU79" s="104"/>
      <c r="AV79" s="104"/>
      <c r="AW79" s="48"/>
      <c r="AX79" s="48"/>
      <c r="AY79" s="48"/>
      <c r="AZ79" s="48"/>
      <c r="BA79" s="48"/>
      <c r="BB79" s="48"/>
      <c r="BC79" s="48"/>
      <c r="BD79" s="48"/>
      <c r="BE79" s="48"/>
      <c r="BF79" s="48"/>
      <c r="BG79" s="48"/>
      <c r="BH79" s="48"/>
    </row>
    <row r="80" spans="2:61" ht="18" customHeight="1">
      <c r="B80" s="48"/>
      <c r="C80" s="48"/>
      <c r="D80" s="48"/>
      <c r="E80" s="48"/>
      <c r="F80" s="48"/>
      <c r="G80" s="48"/>
      <c r="H80" s="48"/>
      <c r="I80" s="48"/>
      <c r="J80" s="48"/>
      <c r="K80" s="48"/>
      <c r="L80" s="48"/>
      <c r="M80" s="48"/>
      <c r="N80" s="171"/>
      <c r="O80" s="103" t="str">
        <f>金城鎮!B40</f>
        <v>④楊肅元</v>
      </c>
      <c r="P80" s="104"/>
      <c r="Q80" s="104"/>
      <c r="R80" s="104">
        <f>金城鎮!D40</f>
        <v>86</v>
      </c>
      <c r="S80" s="105">
        <f>金城鎮!D40</f>
        <v>86</v>
      </c>
      <c r="T80" s="106"/>
      <c r="U80" s="107"/>
      <c r="V80" s="108">
        <f t="shared" si="160"/>
        <v>0.14956521739130435</v>
      </c>
      <c r="W80" s="104"/>
      <c r="X80" s="104"/>
      <c r="Y80" s="48"/>
      <c r="Z80" s="171"/>
      <c r="AA80" s="113" t="str">
        <f>金沙鎮!B40</f>
        <v>④楊肅元</v>
      </c>
      <c r="AB80" s="114"/>
      <c r="AC80" s="114"/>
      <c r="AD80" s="115">
        <f>金沙鎮!D40</f>
        <v>89</v>
      </c>
      <c r="AE80" s="105">
        <f>金沙鎮!D40</f>
        <v>89</v>
      </c>
      <c r="AF80" s="106"/>
      <c r="AG80" s="107"/>
      <c r="AH80" s="120">
        <f t="shared" si="162"/>
        <v>0.20273348519362186</v>
      </c>
      <c r="AI80" s="121"/>
      <c r="AJ80" s="122"/>
      <c r="AK80" s="48"/>
      <c r="AL80" s="171"/>
      <c r="AM80" s="113" t="str">
        <f>金湖鎮!B40</f>
        <v>④楊肅元</v>
      </c>
      <c r="AN80" s="114"/>
      <c r="AO80" s="114"/>
      <c r="AP80" s="115">
        <f>金湖鎮!D40</f>
        <v>89</v>
      </c>
      <c r="AQ80" s="105">
        <f>金湖鎮!D40</f>
        <v>89</v>
      </c>
      <c r="AR80" s="106"/>
      <c r="AS80" s="107"/>
      <c r="AT80" s="108">
        <f t="shared" si="164"/>
        <v>0.2861736334405145</v>
      </c>
      <c r="AU80" s="104"/>
      <c r="AV80" s="104"/>
      <c r="AW80" s="48"/>
      <c r="AX80" s="48"/>
      <c r="AY80" s="48"/>
      <c r="AZ80" s="48"/>
      <c r="BA80" s="48"/>
      <c r="BB80" s="48"/>
      <c r="BC80" s="48"/>
      <c r="BD80" s="48"/>
      <c r="BE80" s="48"/>
      <c r="BF80" s="48"/>
      <c r="BG80" s="48"/>
      <c r="BH80" s="48"/>
    </row>
    <row r="81" spans="2:60" ht="18" customHeight="1">
      <c r="B81" s="48"/>
      <c r="C81" s="48"/>
      <c r="D81" s="48"/>
      <c r="E81" s="48"/>
      <c r="F81" s="48"/>
      <c r="G81" s="48"/>
      <c r="H81" s="48"/>
      <c r="I81" s="48"/>
      <c r="J81" s="48"/>
      <c r="K81" s="48"/>
      <c r="L81" s="48"/>
      <c r="M81" s="48"/>
      <c r="N81" s="171"/>
      <c r="O81" s="103" t="str">
        <f>金城鎮!B41</f>
        <v>⑤翟美玉</v>
      </c>
      <c r="P81" s="104"/>
      <c r="Q81" s="104"/>
      <c r="R81" s="104">
        <f>金城鎮!D41</f>
        <v>120</v>
      </c>
      <c r="S81" s="105">
        <f>金城鎮!D41</f>
        <v>120</v>
      </c>
      <c r="T81" s="106"/>
      <c r="U81" s="107"/>
      <c r="V81" s="108">
        <f t="shared" si="160"/>
        <v>0.20869565217391303</v>
      </c>
      <c r="W81" s="104"/>
      <c r="X81" s="104"/>
      <c r="Y81" s="48"/>
      <c r="Z81" s="171"/>
      <c r="AA81" s="113" t="str">
        <f>金沙鎮!B41</f>
        <v>⑤翟美玉</v>
      </c>
      <c r="AB81" s="114"/>
      <c r="AC81" s="114"/>
      <c r="AD81" s="115">
        <f>金沙鎮!D41</f>
        <v>93</v>
      </c>
      <c r="AE81" s="105">
        <f>金沙鎮!D41</f>
        <v>93</v>
      </c>
      <c r="AF81" s="106"/>
      <c r="AG81" s="107"/>
      <c r="AH81" s="120">
        <f t="shared" si="162"/>
        <v>0.21184510250569477</v>
      </c>
      <c r="AI81" s="121"/>
      <c r="AJ81" s="122"/>
      <c r="AK81" s="48"/>
      <c r="AL81" s="171"/>
      <c r="AM81" s="113" t="str">
        <f>金湖鎮!B41</f>
        <v>⑤翟美玉</v>
      </c>
      <c r="AN81" s="114"/>
      <c r="AO81" s="114"/>
      <c r="AP81" s="115">
        <f>金湖鎮!D41</f>
        <v>91</v>
      </c>
      <c r="AQ81" s="105">
        <f>金湖鎮!D41</f>
        <v>91</v>
      </c>
      <c r="AR81" s="106"/>
      <c r="AS81" s="107"/>
      <c r="AT81" s="108">
        <f t="shared" si="164"/>
        <v>0.29260450160771706</v>
      </c>
      <c r="AU81" s="104"/>
      <c r="AV81" s="104"/>
      <c r="AW81" s="48"/>
      <c r="AX81" s="48"/>
      <c r="AY81" s="48"/>
      <c r="AZ81" s="48"/>
      <c r="BA81" s="48"/>
      <c r="BB81" s="48"/>
      <c r="BC81" s="48"/>
      <c r="BD81" s="48"/>
      <c r="BE81" s="48"/>
      <c r="BF81" s="48"/>
      <c r="BG81" s="48"/>
      <c r="BH81" s="48"/>
    </row>
    <row r="82" spans="2:60" ht="16.5" customHeight="1"/>
    <row r="83" spans="2:60" ht="16.5" hidden="1" customHeight="1"/>
    <row r="84" spans="2:60" ht="16.5" hidden="1" customHeight="1"/>
    <row r="85" spans="2:60" ht="16.5" hidden="1" customHeight="1">
      <c r="Q85" s="8"/>
    </row>
    <row r="86" spans="2:60" ht="0" hidden="1" customHeight="1">
      <c r="Q86" s="7"/>
    </row>
    <row r="87" spans="2:60" ht="0" hidden="1" customHeight="1"/>
    <row r="88" spans="2:60" ht="0" hidden="1" customHeight="1"/>
  </sheetData>
  <mergeCells count="921">
    <mergeCell ref="V80:X80"/>
    <mergeCell ref="O81:R81"/>
    <mergeCell ref="S81:U81"/>
    <mergeCell ref="V81:X81"/>
    <mergeCell ref="O78:R78"/>
    <mergeCell ref="S78:U78"/>
    <mergeCell ref="V78:X78"/>
    <mergeCell ref="O79:R79"/>
    <mergeCell ref="S79:U79"/>
    <mergeCell ref="V79:X79"/>
    <mergeCell ref="O80:R80"/>
    <mergeCell ref="S80:U80"/>
    <mergeCell ref="N47:N51"/>
    <mergeCell ref="N52:N56"/>
    <mergeCell ref="N57:N61"/>
    <mergeCell ref="N62:N66"/>
    <mergeCell ref="N67:N71"/>
    <mergeCell ref="N72:N76"/>
    <mergeCell ref="N77:N81"/>
    <mergeCell ref="S72:U72"/>
    <mergeCell ref="AM80:AP80"/>
    <mergeCell ref="AA75:AD75"/>
    <mergeCell ref="AE75:AG75"/>
    <mergeCell ref="AH75:AJ75"/>
    <mergeCell ref="AA76:AD76"/>
    <mergeCell ref="AE76:AG76"/>
    <mergeCell ref="AH76:AJ76"/>
    <mergeCell ref="AM75:AP75"/>
    <mergeCell ref="AM72:AP72"/>
    <mergeCell ref="AE74:AG74"/>
    <mergeCell ref="AH74:AJ74"/>
    <mergeCell ref="AQ80:AS80"/>
    <mergeCell ref="AT80:AV80"/>
    <mergeCell ref="AM81:AP81"/>
    <mergeCell ref="AQ81:AS81"/>
    <mergeCell ref="AT81:AV81"/>
    <mergeCell ref="AA80:AD80"/>
    <mergeCell ref="AE80:AG80"/>
    <mergeCell ref="AH80:AJ80"/>
    <mergeCell ref="AA81:AD81"/>
    <mergeCell ref="AE81:AG81"/>
    <mergeCell ref="AH81:AJ81"/>
    <mergeCell ref="AL77:AL81"/>
    <mergeCell ref="AM77:AP77"/>
    <mergeCell ref="AQ77:AS77"/>
    <mergeCell ref="AT77:AV77"/>
    <mergeCell ref="AA78:AD78"/>
    <mergeCell ref="AE78:AG78"/>
    <mergeCell ref="AH78:AJ78"/>
    <mergeCell ref="AA77:AD77"/>
    <mergeCell ref="AE77:AG77"/>
    <mergeCell ref="AH77:AJ77"/>
    <mergeCell ref="AM78:AP78"/>
    <mergeCell ref="AQ78:AS78"/>
    <mergeCell ref="AT78:AV78"/>
    <mergeCell ref="AQ75:AS75"/>
    <mergeCell ref="AT75:AV75"/>
    <mergeCell ref="AM76:AP76"/>
    <mergeCell ref="AQ76:AS76"/>
    <mergeCell ref="AT76:AV76"/>
    <mergeCell ref="AL72:AL76"/>
    <mergeCell ref="B47:B51"/>
    <mergeCell ref="B52:B56"/>
    <mergeCell ref="B57:B61"/>
    <mergeCell ref="B62:B66"/>
    <mergeCell ref="B67:B71"/>
    <mergeCell ref="O70:R70"/>
    <mergeCell ref="S70:U70"/>
    <mergeCell ref="V70:X70"/>
    <mergeCell ref="O71:R71"/>
    <mergeCell ref="S71:U71"/>
    <mergeCell ref="V71:X71"/>
    <mergeCell ref="J70:L70"/>
    <mergeCell ref="C71:F71"/>
    <mergeCell ref="G71:I71"/>
    <mergeCell ref="J71:L71"/>
    <mergeCell ref="AA50:AD50"/>
    <mergeCell ref="AE50:AG50"/>
    <mergeCell ref="AM64:AP64"/>
    <mergeCell ref="AX62:AX66"/>
    <mergeCell ref="AX57:AX61"/>
    <mergeCell ref="AX52:AX56"/>
    <mergeCell ref="AX47:AX51"/>
    <mergeCell ref="AA70:AD70"/>
    <mergeCell ref="AE70:AG70"/>
    <mergeCell ref="AH70:AJ70"/>
    <mergeCell ref="AA71:AD71"/>
    <mergeCell ref="AE71:AG71"/>
    <mergeCell ref="AH71:AJ71"/>
    <mergeCell ref="AM70:AP70"/>
    <mergeCell ref="AQ70:AS70"/>
    <mergeCell ref="AT70:AV70"/>
    <mergeCell ref="AM71:AP71"/>
    <mergeCell ref="AQ71:AS71"/>
    <mergeCell ref="AT71:AV71"/>
    <mergeCell ref="AL67:AL71"/>
    <mergeCell ref="AT65:AV65"/>
    <mergeCell ref="AQ60:AS60"/>
    <mergeCell ref="AT60:AV60"/>
    <mergeCell ref="AM50:AP50"/>
    <mergeCell ref="AQ50:AS50"/>
    <mergeCell ref="AT50:AV50"/>
    <mergeCell ref="AL47:AL51"/>
    <mergeCell ref="BC65:BE65"/>
    <mergeCell ref="BF65:BH65"/>
    <mergeCell ref="C66:F66"/>
    <mergeCell ref="G66:I66"/>
    <mergeCell ref="J66:L66"/>
    <mergeCell ref="O66:R66"/>
    <mergeCell ref="S66:U66"/>
    <mergeCell ref="V66:X66"/>
    <mergeCell ref="AA66:AD66"/>
    <mergeCell ref="AE66:AG66"/>
    <mergeCell ref="AH66:AJ66"/>
    <mergeCell ref="AM66:AP66"/>
    <mergeCell ref="AQ66:AS66"/>
    <mergeCell ref="AT66:AV66"/>
    <mergeCell ref="AY66:BB66"/>
    <mergeCell ref="BC66:BE66"/>
    <mergeCell ref="BF66:BH66"/>
    <mergeCell ref="S65:U65"/>
    <mergeCell ref="V65:X65"/>
    <mergeCell ref="AA65:AD65"/>
    <mergeCell ref="AE65:AG65"/>
    <mergeCell ref="AH65:AJ65"/>
    <mergeCell ref="AM65:AP65"/>
    <mergeCell ref="AQ65:AS65"/>
    <mergeCell ref="AY65:BB65"/>
    <mergeCell ref="BC60:BE60"/>
    <mergeCell ref="BF60:BH60"/>
    <mergeCell ref="C61:F61"/>
    <mergeCell ref="G61:I61"/>
    <mergeCell ref="J61:L61"/>
    <mergeCell ref="O61:R61"/>
    <mergeCell ref="S61:U61"/>
    <mergeCell ref="V61:X61"/>
    <mergeCell ref="AA61:AD61"/>
    <mergeCell ref="AE61:AG61"/>
    <mergeCell ref="AH61:AJ61"/>
    <mergeCell ref="AM61:AP61"/>
    <mergeCell ref="AQ61:AS61"/>
    <mergeCell ref="AT61:AV61"/>
    <mergeCell ref="AY61:BB61"/>
    <mergeCell ref="BC61:BE61"/>
    <mergeCell ref="BF61:BH61"/>
    <mergeCell ref="S60:U60"/>
    <mergeCell ref="V60:X60"/>
    <mergeCell ref="AA60:AD60"/>
    <mergeCell ref="AE60:AG60"/>
    <mergeCell ref="AH60:AJ60"/>
    <mergeCell ref="AM60:AP60"/>
    <mergeCell ref="AY60:BB60"/>
    <mergeCell ref="AT55:AV55"/>
    <mergeCell ref="AY55:BB55"/>
    <mergeCell ref="BC55:BE55"/>
    <mergeCell ref="BF55:BH55"/>
    <mergeCell ref="C56:F56"/>
    <mergeCell ref="G56:I56"/>
    <mergeCell ref="J56:L56"/>
    <mergeCell ref="O56:R56"/>
    <mergeCell ref="S56:U56"/>
    <mergeCell ref="V56:X56"/>
    <mergeCell ref="AA56:AD56"/>
    <mergeCell ref="AE56:AG56"/>
    <mergeCell ref="AH56:AJ56"/>
    <mergeCell ref="AM56:AP56"/>
    <mergeCell ref="AQ56:AS56"/>
    <mergeCell ref="AT56:AV56"/>
    <mergeCell ref="AY56:BB56"/>
    <mergeCell ref="BC56:BE56"/>
    <mergeCell ref="BF56:BH56"/>
    <mergeCell ref="AE59:AG59"/>
    <mergeCell ref="AH59:AJ59"/>
    <mergeCell ref="C59:F59"/>
    <mergeCell ref="G59:I59"/>
    <mergeCell ref="AM51:AP51"/>
    <mergeCell ref="AQ51:AS51"/>
    <mergeCell ref="AT51:AV51"/>
    <mergeCell ref="AY51:BB51"/>
    <mergeCell ref="BC51:BE51"/>
    <mergeCell ref="BF51:BH51"/>
    <mergeCell ref="C50:F50"/>
    <mergeCell ref="G50:I50"/>
    <mergeCell ref="J50:L50"/>
    <mergeCell ref="O50:R50"/>
    <mergeCell ref="S50:U50"/>
    <mergeCell ref="V50:X50"/>
    <mergeCell ref="Z47:Z51"/>
    <mergeCell ref="C51:F51"/>
    <mergeCell ref="G51:I51"/>
    <mergeCell ref="J51:L51"/>
    <mergeCell ref="O51:R51"/>
    <mergeCell ref="S51:U51"/>
    <mergeCell ref="V51:X51"/>
    <mergeCell ref="AA51:AD51"/>
    <mergeCell ref="AE51:AG51"/>
    <mergeCell ref="AH51:AJ51"/>
    <mergeCell ref="AY47:BB47"/>
    <mergeCell ref="BC47:BE47"/>
    <mergeCell ref="BC46:BE46"/>
    <mergeCell ref="BF46:BH46"/>
    <mergeCell ref="AX42:AX46"/>
    <mergeCell ref="C45:F45"/>
    <mergeCell ref="G45:I45"/>
    <mergeCell ref="J45:L45"/>
    <mergeCell ref="O45:R45"/>
    <mergeCell ref="N42:N46"/>
    <mergeCell ref="AY50:BB50"/>
    <mergeCell ref="BC50:BE50"/>
    <mergeCell ref="BF50:BH50"/>
    <mergeCell ref="Z42:Z46"/>
    <mergeCell ref="S46:U46"/>
    <mergeCell ref="V46:X46"/>
    <mergeCell ref="AA46:AD46"/>
    <mergeCell ref="AE46:AG46"/>
    <mergeCell ref="AH46:AJ46"/>
    <mergeCell ref="AM46:AP46"/>
    <mergeCell ref="AQ46:AS46"/>
    <mergeCell ref="AT46:AV46"/>
    <mergeCell ref="AY46:BB46"/>
    <mergeCell ref="AE45:AG45"/>
    <mergeCell ref="AH45:AJ45"/>
    <mergeCell ref="AY45:BB45"/>
    <mergeCell ref="C8:E8"/>
    <mergeCell ref="BC7:BG8"/>
    <mergeCell ref="O12:Q12"/>
    <mergeCell ref="L12:N12"/>
    <mergeCell ref="I12:K12"/>
    <mergeCell ref="F12:H12"/>
    <mergeCell ref="AJ37:AM37"/>
    <mergeCell ref="AN37:AP37"/>
    <mergeCell ref="AQ37:AS37"/>
    <mergeCell ref="K37:M37"/>
    <mergeCell ref="AJ29:AM29"/>
    <mergeCell ref="AN29:AP29"/>
    <mergeCell ref="AQ29:AS29"/>
    <mergeCell ref="AJ30:AM30"/>
    <mergeCell ref="AN30:AP30"/>
    <mergeCell ref="AQ30:AS30"/>
    <mergeCell ref="AJ31:AM31"/>
    <mergeCell ref="AN31:AP31"/>
    <mergeCell ref="AQ31:AS31"/>
    <mergeCell ref="Z34:AA34"/>
    <mergeCell ref="W35:Y35"/>
    <mergeCell ref="W36:Y36"/>
    <mergeCell ref="Z35:AA35"/>
    <mergeCell ref="Z36:AA36"/>
    <mergeCell ref="BC45:BE45"/>
    <mergeCell ref="BF45:BH45"/>
    <mergeCell ref="AT63:AV63"/>
    <mergeCell ref="AT53:AV53"/>
    <mergeCell ref="AM54:AP54"/>
    <mergeCell ref="AQ54:AS54"/>
    <mergeCell ref="AT54:AV54"/>
    <mergeCell ref="AM57:AP57"/>
    <mergeCell ref="AQ57:AS57"/>
    <mergeCell ref="AT57:AV57"/>
    <mergeCell ref="AM58:AP58"/>
    <mergeCell ref="AQ58:AS58"/>
    <mergeCell ref="AT58:AV58"/>
    <mergeCell ref="AM59:AP59"/>
    <mergeCell ref="AQ59:AS59"/>
    <mergeCell ref="AT59:AV59"/>
    <mergeCell ref="AM62:AP62"/>
    <mergeCell ref="AQ62:AS62"/>
    <mergeCell ref="AT62:AV62"/>
    <mergeCell ref="AM55:AP55"/>
    <mergeCell ref="AQ55:AS55"/>
    <mergeCell ref="AM53:AP53"/>
    <mergeCell ref="AQ53:AS53"/>
    <mergeCell ref="AM52:AP52"/>
    <mergeCell ref="AQ64:AS64"/>
    <mergeCell ref="AT64:AV64"/>
    <mergeCell ref="AM63:AP63"/>
    <mergeCell ref="AQ63:AS63"/>
    <mergeCell ref="AH63:AJ63"/>
    <mergeCell ref="AA55:AD55"/>
    <mergeCell ref="AE55:AG55"/>
    <mergeCell ref="AH55:AJ55"/>
    <mergeCell ref="AA59:AD59"/>
    <mergeCell ref="AA57:AD57"/>
    <mergeCell ref="AA64:AD64"/>
    <mergeCell ref="AE64:AG64"/>
    <mergeCell ref="AH64:AJ64"/>
    <mergeCell ref="AL52:AL56"/>
    <mergeCell ref="AL57:AL61"/>
    <mergeCell ref="AL62:AL66"/>
    <mergeCell ref="AT44:AV44"/>
    <mergeCell ref="AM47:AP47"/>
    <mergeCell ref="AQ47:AS47"/>
    <mergeCell ref="AT47:AV47"/>
    <mergeCell ref="AM48:AP48"/>
    <mergeCell ref="AQ48:AS48"/>
    <mergeCell ref="AT48:AV48"/>
    <mergeCell ref="AM49:AP49"/>
    <mergeCell ref="AQ49:AS49"/>
    <mergeCell ref="AT49:AV49"/>
    <mergeCell ref="AM45:AP45"/>
    <mergeCell ref="AQ45:AS45"/>
    <mergeCell ref="AT45:AV45"/>
    <mergeCell ref="AE57:AG57"/>
    <mergeCell ref="AH57:AJ57"/>
    <mergeCell ref="AA58:AD58"/>
    <mergeCell ref="AE58:AG58"/>
    <mergeCell ref="AY64:BB64"/>
    <mergeCell ref="BC64:BE64"/>
    <mergeCell ref="BF64:BH64"/>
    <mergeCell ref="AA79:AD79"/>
    <mergeCell ref="AE79:AG79"/>
    <mergeCell ref="AH79:AJ79"/>
    <mergeCell ref="AM67:AP67"/>
    <mergeCell ref="AQ67:AS67"/>
    <mergeCell ref="AT67:AV67"/>
    <mergeCell ref="AM68:AP68"/>
    <mergeCell ref="AQ68:AS68"/>
    <mergeCell ref="AT68:AV68"/>
    <mergeCell ref="AM79:AP79"/>
    <mergeCell ref="AQ79:AS79"/>
    <mergeCell ref="AT79:AV79"/>
    <mergeCell ref="AM69:AP69"/>
    <mergeCell ref="AQ69:AS69"/>
    <mergeCell ref="AT69:AV69"/>
    <mergeCell ref="AX68:BH68"/>
    <mergeCell ref="AY69:BB69"/>
    <mergeCell ref="BC69:BE69"/>
    <mergeCell ref="BF69:BH69"/>
    <mergeCell ref="AY70:BB70"/>
    <mergeCell ref="BC70:BE70"/>
    <mergeCell ref="O73:R73"/>
    <mergeCell ref="S73:U73"/>
    <mergeCell ref="V73:X73"/>
    <mergeCell ref="O74:R74"/>
    <mergeCell ref="S74:U74"/>
    <mergeCell ref="V74:X74"/>
    <mergeCell ref="BF72:BH72"/>
    <mergeCell ref="AY73:BB73"/>
    <mergeCell ref="BC73:BE73"/>
    <mergeCell ref="BF73:BH73"/>
    <mergeCell ref="AM74:AP74"/>
    <mergeCell ref="AQ74:AS74"/>
    <mergeCell ref="AT74:AV74"/>
    <mergeCell ref="AY72:BB72"/>
    <mergeCell ref="BC72:BE72"/>
    <mergeCell ref="AM73:AP73"/>
    <mergeCell ref="AQ73:AS73"/>
    <mergeCell ref="AT73:AV73"/>
    <mergeCell ref="AX69:AX73"/>
    <mergeCell ref="AQ72:AS72"/>
    <mergeCell ref="O58:R58"/>
    <mergeCell ref="AA62:AD62"/>
    <mergeCell ref="AE62:AG62"/>
    <mergeCell ref="AH62:AJ62"/>
    <mergeCell ref="AA63:AD63"/>
    <mergeCell ref="AE63:AG63"/>
    <mergeCell ref="O77:R77"/>
    <mergeCell ref="S77:U77"/>
    <mergeCell ref="V77:X77"/>
    <mergeCell ref="O75:R75"/>
    <mergeCell ref="S75:U75"/>
    <mergeCell ref="V75:X75"/>
    <mergeCell ref="O76:R76"/>
    <mergeCell ref="S76:U76"/>
    <mergeCell ref="V76:X76"/>
    <mergeCell ref="AA68:AD68"/>
    <mergeCell ref="Z57:Z61"/>
    <mergeCell ref="Z62:Z66"/>
    <mergeCell ref="Z67:Z71"/>
    <mergeCell ref="Z72:Z76"/>
    <mergeCell ref="Z77:Z81"/>
    <mergeCell ref="AE68:AG68"/>
    <mergeCell ref="AH68:AJ68"/>
    <mergeCell ref="AA67:AD67"/>
    <mergeCell ref="C60:F60"/>
    <mergeCell ref="G60:I60"/>
    <mergeCell ref="J60:L60"/>
    <mergeCell ref="O60:R60"/>
    <mergeCell ref="C65:F65"/>
    <mergeCell ref="G65:I65"/>
    <mergeCell ref="J65:L65"/>
    <mergeCell ref="O65:R65"/>
    <mergeCell ref="C70:F70"/>
    <mergeCell ref="G70:I70"/>
    <mergeCell ref="O63:R63"/>
    <mergeCell ref="AZ36:BA36"/>
    <mergeCell ref="J58:L58"/>
    <mergeCell ref="AA42:AD42"/>
    <mergeCell ref="AE42:AG42"/>
    <mergeCell ref="AH42:AJ42"/>
    <mergeCell ref="AA43:AD43"/>
    <mergeCell ref="AE43:AG43"/>
    <mergeCell ref="AH43:AJ43"/>
    <mergeCell ref="AA44:AD44"/>
    <mergeCell ref="AE44:AG44"/>
    <mergeCell ref="AH44:AJ44"/>
    <mergeCell ref="AA47:AD47"/>
    <mergeCell ref="AE47:AG47"/>
    <mergeCell ref="AH47:AJ47"/>
    <mergeCell ref="AA48:AD48"/>
    <mergeCell ref="AE48:AG48"/>
    <mergeCell ref="J54:L54"/>
    <mergeCell ref="AH48:AJ48"/>
    <mergeCell ref="AA49:AD49"/>
    <mergeCell ref="AE49:AG49"/>
    <mergeCell ref="AH58:AJ58"/>
    <mergeCell ref="O57:R57"/>
    <mergeCell ref="J55:L55"/>
    <mergeCell ref="O55:R55"/>
    <mergeCell ref="C57:F57"/>
    <mergeCell ref="G57:I57"/>
    <mergeCell ref="J57:L57"/>
    <mergeCell ref="C58:F58"/>
    <mergeCell ref="G58:I58"/>
    <mergeCell ref="G54:I54"/>
    <mergeCell ref="C52:F52"/>
    <mergeCell ref="G52:I52"/>
    <mergeCell ref="J52:L52"/>
    <mergeCell ref="C53:F53"/>
    <mergeCell ref="C55:F55"/>
    <mergeCell ref="G55:I55"/>
    <mergeCell ref="W31:Y31"/>
    <mergeCell ref="Z31:AA31"/>
    <mergeCell ref="AQ33:AS33"/>
    <mergeCell ref="AJ34:AM34"/>
    <mergeCell ref="AN34:AP34"/>
    <mergeCell ref="AQ34:AS34"/>
    <mergeCell ref="AJ35:AM35"/>
    <mergeCell ref="AN35:AP35"/>
    <mergeCell ref="W32:AA33"/>
    <mergeCell ref="W34:Y34"/>
    <mergeCell ref="AJ32:AM32"/>
    <mergeCell ref="AN32:AP32"/>
    <mergeCell ref="AQ32:AS32"/>
    <mergeCell ref="AJ33:AM33"/>
    <mergeCell ref="AN33:AP33"/>
    <mergeCell ref="AX27:AZ27"/>
    <mergeCell ref="BA27:BB27"/>
    <mergeCell ref="BA28:BB28"/>
    <mergeCell ref="AX28:AZ28"/>
    <mergeCell ref="AX25:BB26"/>
    <mergeCell ref="BC20:BE20"/>
    <mergeCell ref="BF20:BG20"/>
    <mergeCell ref="BC21:BE21"/>
    <mergeCell ref="BF21:BG21"/>
    <mergeCell ref="BC24:BE24"/>
    <mergeCell ref="BF24:BG24"/>
    <mergeCell ref="BC25:BE25"/>
    <mergeCell ref="BF25:BG25"/>
    <mergeCell ref="BC26:BE26"/>
    <mergeCell ref="BF26:BG26"/>
    <mergeCell ref="BC22:BG23"/>
    <mergeCell ref="AS24:AU24"/>
    <mergeCell ref="AV24:AW24"/>
    <mergeCell ref="AS25:AU25"/>
    <mergeCell ref="AV25:AW25"/>
    <mergeCell ref="AX22:AZ22"/>
    <mergeCell ref="BA22:BB22"/>
    <mergeCell ref="AX23:AZ23"/>
    <mergeCell ref="BA23:BB23"/>
    <mergeCell ref="AX24:AZ24"/>
    <mergeCell ref="BA24:BB24"/>
    <mergeCell ref="AN22:AP22"/>
    <mergeCell ref="AQ22:AR22"/>
    <mergeCell ref="AN23:AP23"/>
    <mergeCell ref="AQ23:AR23"/>
    <mergeCell ref="AS19:AU19"/>
    <mergeCell ref="AV19:AW19"/>
    <mergeCell ref="AS20:AU20"/>
    <mergeCell ref="AV20:AW20"/>
    <mergeCell ref="AS21:AU21"/>
    <mergeCell ref="AV21:AW21"/>
    <mergeCell ref="BC15:BE15"/>
    <mergeCell ref="BF15:BG15"/>
    <mergeCell ref="BC16:BE16"/>
    <mergeCell ref="BF16:BG16"/>
    <mergeCell ref="AX17:AZ17"/>
    <mergeCell ref="BA17:BB17"/>
    <mergeCell ref="AX18:AZ18"/>
    <mergeCell ref="BA18:BB18"/>
    <mergeCell ref="AX19:AZ19"/>
    <mergeCell ref="BA19:BB19"/>
    <mergeCell ref="BC19:BE19"/>
    <mergeCell ref="BF19:BG19"/>
    <mergeCell ref="BC17:BG18"/>
    <mergeCell ref="AN12:AP12"/>
    <mergeCell ref="AQ12:AR12"/>
    <mergeCell ref="AN13:AP13"/>
    <mergeCell ref="AQ13:AR13"/>
    <mergeCell ref="AN14:AP14"/>
    <mergeCell ref="AQ14:AR14"/>
    <mergeCell ref="AQ17:AR17"/>
    <mergeCell ref="AN18:AP18"/>
    <mergeCell ref="AQ18:AR18"/>
    <mergeCell ref="AX7:AZ7"/>
    <mergeCell ref="BA7:BB7"/>
    <mergeCell ref="AX8:AZ8"/>
    <mergeCell ref="BA8:BB8"/>
    <mergeCell ref="AX9:AZ9"/>
    <mergeCell ref="BA9:BB9"/>
    <mergeCell ref="AS9:AU9"/>
    <mergeCell ref="AV9:AW9"/>
    <mergeCell ref="AS10:AU10"/>
    <mergeCell ref="AV10:AW10"/>
    <mergeCell ref="AS7:AW8"/>
    <mergeCell ref="AX10:BB11"/>
    <mergeCell ref="AS11:AU11"/>
    <mergeCell ref="AV11:AW11"/>
    <mergeCell ref="H18:J18"/>
    <mergeCell ref="T10:V10"/>
    <mergeCell ref="W10:X10"/>
    <mergeCell ref="T11:V11"/>
    <mergeCell ref="W11:X11"/>
    <mergeCell ref="Y9:AA9"/>
    <mergeCell ref="AB9:AC9"/>
    <mergeCell ref="Y10:AA10"/>
    <mergeCell ref="AB10:AC10"/>
    <mergeCell ref="Y11:AA11"/>
    <mergeCell ref="AB11:AC11"/>
    <mergeCell ref="Y14:AA14"/>
    <mergeCell ref="AB14:AC14"/>
    <mergeCell ref="Y15:AA15"/>
    <mergeCell ref="AB15:AC15"/>
    <mergeCell ref="Y16:AA16"/>
    <mergeCell ref="AB16:AC16"/>
    <mergeCell ref="T9:V9"/>
    <mergeCell ref="W9:X9"/>
    <mergeCell ref="I11:K11"/>
    <mergeCell ref="L11:N11"/>
    <mergeCell ref="K18:L18"/>
    <mergeCell ref="BC34:BE34"/>
    <mergeCell ref="BF34:BG34"/>
    <mergeCell ref="BC35:BE35"/>
    <mergeCell ref="BF35:BG35"/>
    <mergeCell ref="BC36:BE36"/>
    <mergeCell ref="BF36:BG36"/>
    <mergeCell ref="AE29:AF29"/>
    <mergeCell ref="AB30:AD30"/>
    <mergeCell ref="AE30:AF30"/>
    <mergeCell ref="AB31:AD31"/>
    <mergeCell ref="AE31:AF31"/>
    <mergeCell ref="AW32:BA33"/>
    <mergeCell ref="BC32:BG33"/>
    <mergeCell ref="AX29:AZ29"/>
    <mergeCell ref="BA29:BB29"/>
    <mergeCell ref="AQ36:AS36"/>
    <mergeCell ref="AQ35:AS35"/>
    <mergeCell ref="AJ36:AM36"/>
    <mergeCell ref="AN36:AP36"/>
    <mergeCell ref="AW34:AY34"/>
    <mergeCell ref="AZ34:BA34"/>
    <mergeCell ref="AW35:AY35"/>
    <mergeCell ref="AZ35:BA35"/>
    <mergeCell ref="AW36:AY36"/>
    <mergeCell ref="W30:Y30"/>
    <mergeCell ref="Z30:AA30"/>
    <mergeCell ref="AB29:AD29"/>
    <mergeCell ref="AD19:AF19"/>
    <mergeCell ref="AD20:AF20"/>
    <mergeCell ref="AD21:AF21"/>
    <mergeCell ref="W27:AA28"/>
    <mergeCell ref="AB27:AF28"/>
    <mergeCell ref="Y24:AA24"/>
    <mergeCell ref="AB24:AC24"/>
    <mergeCell ref="Y25:AA25"/>
    <mergeCell ref="AB25:AC25"/>
    <mergeCell ref="Y26:AA26"/>
    <mergeCell ref="AB26:AC26"/>
    <mergeCell ref="AD24:AF24"/>
    <mergeCell ref="AD25:AF25"/>
    <mergeCell ref="AD26:AF26"/>
    <mergeCell ref="W29:Y29"/>
    <mergeCell ref="Z29:AA29"/>
    <mergeCell ref="AL23:AM23"/>
    <mergeCell ref="AN19:AP19"/>
    <mergeCell ref="AQ19:AR19"/>
    <mergeCell ref="U30:V30"/>
    <mergeCell ref="R31:T31"/>
    <mergeCell ref="BF70:BH70"/>
    <mergeCell ref="AY71:BB71"/>
    <mergeCell ref="BC71:BE71"/>
    <mergeCell ref="BF71:BH71"/>
    <mergeCell ref="S58:U58"/>
    <mergeCell ref="AY52:BB52"/>
    <mergeCell ref="BC52:BE52"/>
    <mergeCell ref="BC58:BE58"/>
    <mergeCell ref="BF58:BH58"/>
    <mergeCell ref="AY59:BB59"/>
    <mergeCell ref="BC59:BE59"/>
    <mergeCell ref="BF59:BH59"/>
    <mergeCell ref="AY62:BB62"/>
    <mergeCell ref="BC62:BE62"/>
    <mergeCell ref="BF62:BH62"/>
    <mergeCell ref="AY63:BB63"/>
    <mergeCell ref="BC63:BE63"/>
    <mergeCell ref="BF63:BH63"/>
    <mergeCell ref="AY58:BB58"/>
    <mergeCell ref="AQ52:AS52"/>
    <mergeCell ref="AT52:AV52"/>
    <mergeCell ref="H30:J30"/>
    <mergeCell ref="K30:M30"/>
    <mergeCell ref="D31:G31"/>
    <mergeCell ref="H31:J31"/>
    <mergeCell ref="K31:M31"/>
    <mergeCell ref="D32:G32"/>
    <mergeCell ref="H32:J32"/>
    <mergeCell ref="K32:M32"/>
    <mergeCell ref="R30:T30"/>
    <mergeCell ref="D33:G33"/>
    <mergeCell ref="H33:J33"/>
    <mergeCell ref="K33:M33"/>
    <mergeCell ref="B41:L41"/>
    <mergeCell ref="C42:F42"/>
    <mergeCell ref="G42:I42"/>
    <mergeCell ref="J42:L42"/>
    <mergeCell ref="C43:F43"/>
    <mergeCell ref="G43:I43"/>
    <mergeCell ref="J43:L43"/>
    <mergeCell ref="D34:G34"/>
    <mergeCell ref="H34:J34"/>
    <mergeCell ref="K34:M34"/>
    <mergeCell ref="D35:G35"/>
    <mergeCell ref="H35:J35"/>
    <mergeCell ref="K35:M35"/>
    <mergeCell ref="D36:G36"/>
    <mergeCell ref="H36:J36"/>
    <mergeCell ref="K36:M36"/>
    <mergeCell ref="D37:G37"/>
    <mergeCell ref="H37:J37"/>
    <mergeCell ref="B42:B46"/>
    <mergeCell ref="C44:F44"/>
    <mergeCell ref="G44:I44"/>
    <mergeCell ref="J44:L44"/>
    <mergeCell ref="C46:F46"/>
    <mergeCell ref="G46:I46"/>
    <mergeCell ref="J46:L46"/>
    <mergeCell ref="AL41:AV41"/>
    <mergeCell ref="N41:X41"/>
    <mergeCell ref="Z41:AJ41"/>
    <mergeCell ref="V42:X42"/>
    <mergeCell ref="V43:X43"/>
    <mergeCell ref="V44:X44"/>
    <mergeCell ref="O42:R42"/>
    <mergeCell ref="S42:U42"/>
    <mergeCell ref="O43:R43"/>
    <mergeCell ref="S43:U43"/>
    <mergeCell ref="O44:R44"/>
    <mergeCell ref="S44:U44"/>
    <mergeCell ref="AM42:AP42"/>
    <mergeCell ref="AL42:AL46"/>
    <mergeCell ref="AQ42:AS42"/>
    <mergeCell ref="AT42:AV42"/>
    <mergeCell ref="AM43:AP43"/>
    <mergeCell ref="AQ43:AS43"/>
    <mergeCell ref="AT43:AV43"/>
    <mergeCell ref="AM44:AP44"/>
    <mergeCell ref="AQ44:AS44"/>
    <mergeCell ref="S45:U45"/>
    <mergeCell ref="V45:X45"/>
    <mergeCell ref="AA45:AD45"/>
    <mergeCell ref="AX41:BH41"/>
    <mergeCell ref="AY42:BB42"/>
    <mergeCell ref="BC42:BE42"/>
    <mergeCell ref="BF42:BH42"/>
    <mergeCell ref="AY43:BB43"/>
    <mergeCell ref="BC43:BE43"/>
    <mergeCell ref="BF43:BH43"/>
    <mergeCell ref="AY44:BB44"/>
    <mergeCell ref="BC44:BE44"/>
    <mergeCell ref="BF44:BH44"/>
    <mergeCell ref="BF47:BH47"/>
    <mergeCell ref="AY48:BB48"/>
    <mergeCell ref="BC48:BE48"/>
    <mergeCell ref="BF48:BH48"/>
    <mergeCell ref="AY49:BB49"/>
    <mergeCell ref="BC49:BE49"/>
    <mergeCell ref="BF49:BH49"/>
    <mergeCell ref="BF52:BH52"/>
    <mergeCell ref="AY53:BB53"/>
    <mergeCell ref="BC53:BE53"/>
    <mergeCell ref="BF53:BH53"/>
    <mergeCell ref="O47:R47"/>
    <mergeCell ref="O48:R48"/>
    <mergeCell ref="O49:R49"/>
    <mergeCell ref="AY54:BB54"/>
    <mergeCell ref="BC54:BE54"/>
    <mergeCell ref="BF54:BH54"/>
    <mergeCell ref="AY57:BB57"/>
    <mergeCell ref="BC57:BE57"/>
    <mergeCell ref="BF57:BH57"/>
    <mergeCell ref="AH54:AJ54"/>
    <mergeCell ref="S47:U47"/>
    <mergeCell ref="V47:X47"/>
    <mergeCell ref="S48:U48"/>
    <mergeCell ref="V48:X48"/>
    <mergeCell ref="S49:U49"/>
    <mergeCell ref="V49:X49"/>
    <mergeCell ref="S52:U52"/>
    <mergeCell ref="V52:X52"/>
    <mergeCell ref="S53:U53"/>
    <mergeCell ref="V53:X53"/>
    <mergeCell ref="S54:U54"/>
    <mergeCell ref="V54:X54"/>
    <mergeCell ref="AH50:AJ50"/>
    <mergeCell ref="AA52:AD52"/>
    <mergeCell ref="C49:F49"/>
    <mergeCell ref="G49:I49"/>
    <mergeCell ref="J49:L49"/>
    <mergeCell ref="AA53:AD53"/>
    <mergeCell ref="AE53:AG53"/>
    <mergeCell ref="Z52:Z56"/>
    <mergeCell ref="AH53:AJ53"/>
    <mergeCell ref="AA54:AD54"/>
    <mergeCell ref="AE54:AG54"/>
    <mergeCell ref="AE52:AG52"/>
    <mergeCell ref="AH52:AJ52"/>
    <mergeCell ref="AH49:AJ49"/>
    <mergeCell ref="G53:I53"/>
    <mergeCell ref="J53:L53"/>
    <mergeCell ref="C54:F54"/>
    <mergeCell ref="AE73:AG73"/>
    <mergeCell ref="AH73:AJ73"/>
    <mergeCell ref="C69:F69"/>
    <mergeCell ref="G69:I69"/>
    <mergeCell ref="J69:L69"/>
    <mergeCell ref="G63:I63"/>
    <mergeCell ref="J63:L63"/>
    <mergeCell ref="C67:F67"/>
    <mergeCell ref="G67:I67"/>
    <mergeCell ref="J67:L67"/>
    <mergeCell ref="C68:F68"/>
    <mergeCell ref="G68:I68"/>
    <mergeCell ref="J68:L68"/>
    <mergeCell ref="C63:F63"/>
    <mergeCell ref="C64:F64"/>
    <mergeCell ref="G64:I64"/>
    <mergeCell ref="O72:R72"/>
    <mergeCell ref="AE67:AG67"/>
    <mergeCell ref="AH67:AJ67"/>
    <mergeCell ref="V72:X72"/>
    <mergeCell ref="C25:E25"/>
    <mergeCell ref="F25:G25"/>
    <mergeCell ref="C26:E26"/>
    <mergeCell ref="F26:G26"/>
    <mergeCell ref="H22:J22"/>
    <mergeCell ref="H24:J24"/>
    <mergeCell ref="AT72:AV72"/>
    <mergeCell ref="AE69:AG69"/>
    <mergeCell ref="AH69:AJ69"/>
    <mergeCell ref="AA72:AD72"/>
    <mergeCell ref="AE72:AG72"/>
    <mergeCell ref="AH72:AJ72"/>
    <mergeCell ref="O46:R46"/>
    <mergeCell ref="V58:X58"/>
    <mergeCell ref="O59:R59"/>
    <mergeCell ref="S59:U59"/>
    <mergeCell ref="V59:X59"/>
    <mergeCell ref="O62:R62"/>
    <mergeCell ref="S62:U62"/>
    <mergeCell ref="V62:X62"/>
    <mergeCell ref="S57:U57"/>
    <mergeCell ref="V57:X57"/>
    <mergeCell ref="S55:U55"/>
    <mergeCell ref="V55:X55"/>
    <mergeCell ref="J59:L59"/>
    <mergeCell ref="C62:F62"/>
    <mergeCell ref="G62:I62"/>
    <mergeCell ref="J62:L62"/>
    <mergeCell ref="J64:L64"/>
    <mergeCell ref="C32:C34"/>
    <mergeCell ref="C35:C37"/>
    <mergeCell ref="AI29:AI31"/>
    <mergeCell ref="AI32:AI34"/>
    <mergeCell ref="AI35:AI37"/>
    <mergeCell ref="O52:R52"/>
    <mergeCell ref="O53:R53"/>
    <mergeCell ref="O54:R54"/>
    <mergeCell ref="S63:U63"/>
    <mergeCell ref="V63:X63"/>
    <mergeCell ref="D29:G29"/>
    <mergeCell ref="H29:J29"/>
    <mergeCell ref="K29:M29"/>
    <mergeCell ref="C47:F47"/>
    <mergeCell ref="G47:I47"/>
    <mergeCell ref="J47:L47"/>
    <mergeCell ref="C48:F48"/>
    <mergeCell ref="G48:I48"/>
    <mergeCell ref="J48:L48"/>
    <mergeCell ref="AA74:AD74"/>
    <mergeCell ref="V64:X64"/>
    <mergeCell ref="O67:R67"/>
    <mergeCell ref="S67:U67"/>
    <mergeCell ref="V67:X67"/>
    <mergeCell ref="O68:R68"/>
    <mergeCell ref="S68:U68"/>
    <mergeCell ref="V68:X68"/>
    <mergeCell ref="O69:R69"/>
    <mergeCell ref="S69:U69"/>
    <mergeCell ref="V69:X69"/>
    <mergeCell ref="O64:R64"/>
    <mergeCell ref="S64:U64"/>
    <mergeCell ref="AA69:AD69"/>
    <mergeCell ref="AA73:AD73"/>
    <mergeCell ref="R27:V28"/>
    <mergeCell ref="R29:T29"/>
    <mergeCell ref="U29:V29"/>
    <mergeCell ref="K24:L24"/>
    <mergeCell ref="F21:G21"/>
    <mergeCell ref="K19:L19"/>
    <mergeCell ref="C19:E19"/>
    <mergeCell ref="F19:G19"/>
    <mergeCell ref="C20:E20"/>
    <mergeCell ref="F20:G20"/>
    <mergeCell ref="C21:E21"/>
    <mergeCell ref="K22:L22"/>
    <mergeCell ref="H23:J23"/>
    <mergeCell ref="K23:L23"/>
    <mergeCell ref="H19:J19"/>
    <mergeCell ref="C29:C31"/>
    <mergeCell ref="M20:O20"/>
    <mergeCell ref="M21:O21"/>
    <mergeCell ref="H20:L21"/>
    <mergeCell ref="U31:V31"/>
    <mergeCell ref="D30:G30"/>
    <mergeCell ref="C22:G23"/>
    <mergeCell ref="C24:E24"/>
    <mergeCell ref="F24:G24"/>
    <mergeCell ref="AG26:AH26"/>
    <mergeCell ref="P19:Q19"/>
    <mergeCell ref="P20:Q20"/>
    <mergeCell ref="P21:Q21"/>
    <mergeCell ref="BC12:BG13"/>
    <mergeCell ref="BC9:BE9"/>
    <mergeCell ref="BF9:BG9"/>
    <mergeCell ref="BC10:BE10"/>
    <mergeCell ref="BF10:BG10"/>
    <mergeCell ref="BC11:BE11"/>
    <mergeCell ref="BF11:BG11"/>
    <mergeCell ref="BC14:BE14"/>
    <mergeCell ref="BF14:BG14"/>
    <mergeCell ref="Y19:AA19"/>
    <mergeCell ref="AB19:AC19"/>
    <mergeCell ref="Y20:AA20"/>
    <mergeCell ref="AB20:AC20"/>
    <mergeCell ref="Y21:AA21"/>
    <mergeCell ref="AB21:AC21"/>
    <mergeCell ref="AS26:AU26"/>
    <mergeCell ref="AV26:AW26"/>
    <mergeCell ref="AI20:AM21"/>
    <mergeCell ref="AN20:AR21"/>
    <mergeCell ref="AI24:AK24"/>
    <mergeCell ref="AL24:AM24"/>
    <mergeCell ref="AN24:AP24"/>
    <mergeCell ref="AQ24:AR24"/>
    <mergeCell ref="M17:Q18"/>
    <mergeCell ref="AD17:AH18"/>
    <mergeCell ref="AD12:AH13"/>
    <mergeCell ref="Y17:AC18"/>
    <mergeCell ref="Y22:AC23"/>
    <mergeCell ref="AD22:AH23"/>
    <mergeCell ref="AD14:AF14"/>
    <mergeCell ref="AG14:AH14"/>
    <mergeCell ref="AD15:AF15"/>
    <mergeCell ref="AG15:AH15"/>
    <mergeCell ref="AD16:AF16"/>
    <mergeCell ref="AG16:AH16"/>
    <mergeCell ref="AI17:AK17"/>
    <mergeCell ref="AL17:AM17"/>
    <mergeCell ref="AI18:AK18"/>
    <mergeCell ref="AL18:AM18"/>
    <mergeCell ref="AI19:AK19"/>
    <mergeCell ref="AL19:AM19"/>
    <mergeCell ref="AI22:AK22"/>
    <mergeCell ref="AL22:AM22"/>
    <mergeCell ref="AI23:AK23"/>
    <mergeCell ref="BA13:BB13"/>
    <mergeCell ref="AX14:AZ14"/>
    <mergeCell ref="BA14:BB14"/>
    <mergeCell ref="AN17:AP17"/>
    <mergeCell ref="AG25:AH25"/>
    <mergeCell ref="AX20:BB21"/>
    <mergeCell ref="AS22:AW23"/>
    <mergeCell ref="C12:E12"/>
    <mergeCell ref="F8:H8"/>
    <mergeCell ref="I8:K8"/>
    <mergeCell ref="L8:N8"/>
    <mergeCell ref="O8:Q8"/>
    <mergeCell ref="C11:E11"/>
    <mergeCell ref="F11:H11"/>
    <mergeCell ref="H17:J17"/>
    <mergeCell ref="K17:L17"/>
    <mergeCell ref="AN10:AR11"/>
    <mergeCell ref="H15:L16"/>
    <mergeCell ref="AI15:AM16"/>
    <mergeCell ref="AG24:AH24"/>
    <mergeCell ref="AG19:AH19"/>
    <mergeCell ref="AG20:AH20"/>
    <mergeCell ref="AG21:AH21"/>
    <mergeCell ref="M19:O19"/>
    <mergeCell ref="I7:K7"/>
    <mergeCell ref="F7:H7"/>
    <mergeCell ref="C7:E7"/>
    <mergeCell ref="L7:N7"/>
    <mergeCell ref="O7:Q7"/>
    <mergeCell ref="O11:Q11"/>
    <mergeCell ref="AX5:BB6"/>
    <mergeCell ref="AX15:BB16"/>
    <mergeCell ref="AS17:AW18"/>
    <mergeCell ref="T7:X8"/>
    <mergeCell ref="Y7:AC8"/>
    <mergeCell ref="Y12:AC13"/>
    <mergeCell ref="C17:G18"/>
    <mergeCell ref="AN15:AR16"/>
    <mergeCell ref="AS14:AU14"/>
    <mergeCell ref="AV14:AW14"/>
    <mergeCell ref="AS12:AW13"/>
    <mergeCell ref="AS15:AU15"/>
    <mergeCell ref="AV15:AW15"/>
    <mergeCell ref="AS16:AU16"/>
    <mergeCell ref="AV16:AW16"/>
    <mergeCell ref="AX12:AZ12"/>
    <mergeCell ref="BA12:BB12"/>
    <mergeCell ref="AX13:AZ13"/>
  </mergeCells>
  <phoneticPr fontId="1" type="noConversion"/>
  <pageMargins left="0.23622047244094488" right="0.23622047244094488" top="0.39370078740157483" bottom="0.39370078740157483" header="0.39370078740157483" footer="0.39370078740157483"/>
  <pageSetup paperSize="9" scale="5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616" id="{CA94541A-8998-4020-A74C-7EF57EFFE40E}">
            <xm:f>比例色代碼!G9=5</xm:f>
            <x14:dxf>
              <font>
                <color theme="2" tint="-0.749961851863155"/>
              </font>
              <fill>
                <patternFill>
                  <bgColor rgb="FFEEFCFB"/>
                </patternFill>
              </fill>
            </x14:dxf>
          </x14:cfRule>
          <x14:cfRule type="expression" priority="617" id="{1E36DFF0-6CCF-4BA9-A29D-F439299D8130}">
            <xm:f>比例色代碼!G9=4</xm:f>
            <x14:dxf>
              <font>
                <color theme="2" tint="-0.749961851863155"/>
              </font>
              <fill>
                <patternFill>
                  <bgColor rgb="FFC3F4F3"/>
                </patternFill>
              </fill>
            </x14:dxf>
          </x14:cfRule>
          <x14:cfRule type="expression" priority="618" id="{F276C0CF-B234-428F-97C6-EBCBB2C485B4}">
            <xm:f>比例色代碼!G9=3</xm:f>
            <x14:dxf>
              <font>
                <color theme="2" tint="-0.749961851863155"/>
              </font>
              <fill>
                <patternFill>
                  <bgColor rgb="FF8FE9E7"/>
                </patternFill>
              </fill>
            </x14:dxf>
          </x14:cfRule>
          <x14:cfRule type="expression" priority="619" id="{8F0928C3-5B73-449F-A7FA-6BD6F99A615B}">
            <xm:f>比例色代碼!G9=2</xm:f>
            <x14:dxf>
              <font>
                <color theme="0"/>
              </font>
              <fill>
                <patternFill>
                  <bgColor rgb="FF28C8C8"/>
                </patternFill>
              </fill>
            </x14:dxf>
          </x14:cfRule>
          <x14:cfRule type="expression" priority="620" id="{6B8814C8-8CB5-4CA7-A570-25781A728FCA}">
            <xm:f>比例色代碼!G9=1</xm:f>
            <x14:dxf>
              <font>
                <color theme="0"/>
              </font>
              <fill>
                <patternFill>
                  <bgColor rgb="FF1D928F"/>
                </patternFill>
              </fill>
            </x14:dxf>
          </x14:cfRule>
          <x14:cfRule type="expression" priority="621" id="{C8322D63-D2B3-4109-9104-8D29FDA8F895}">
            <xm:f>比例色代碼!G8=5</xm:f>
            <x14:dxf>
              <font>
                <color theme="2" tint="-0.749961851863155"/>
              </font>
              <fill>
                <patternFill>
                  <bgColor theme="8" tint="0.79998168889431442"/>
                </patternFill>
              </fill>
            </x14:dxf>
          </x14:cfRule>
          <x14:cfRule type="expression" priority="622" id="{2AE0010E-368E-4316-B2BB-B0B76E5AFF71}">
            <xm:f>比例色代碼!G8=4</xm:f>
            <x14:dxf>
              <font>
                <color theme="2" tint="-0.749961851863155"/>
              </font>
              <fill>
                <patternFill>
                  <bgColor theme="8" tint="0.59996337778862885"/>
                </patternFill>
              </fill>
            </x14:dxf>
          </x14:cfRule>
          <x14:cfRule type="expression" priority="623" id="{D8AD28B7-F848-4C03-82DF-7FFDB32823D2}">
            <xm:f>比例色代碼!G8=3</xm:f>
            <x14:dxf>
              <font>
                <color theme="2" tint="-0.749961851863155"/>
              </font>
              <fill>
                <patternFill>
                  <bgColor theme="8" tint="0.39994506668294322"/>
                </patternFill>
              </fill>
            </x14:dxf>
          </x14:cfRule>
          <x14:cfRule type="expression" priority="624" id="{CF04F457-5B7D-4B2A-BE6D-DBAD3A3FD664}">
            <xm:f>比例色代碼!G8=2</xm:f>
            <x14:dxf>
              <font>
                <color theme="0"/>
              </font>
              <fill>
                <patternFill>
                  <bgColor theme="8" tint="-0.24994659260841701"/>
                </patternFill>
              </fill>
            </x14:dxf>
          </x14:cfRule>
          <x14:cfRule type="expression" priority="625" id="{4D29E136-C385-490A-98CC-ED9062EFC5AA}">
            <xm:f>比例色代碼!G8=1</xm:f>
            <x14:dxf>
              <font>
                <color theme="0"/>
              </font>
              <fill>
                <patternFill>
                  <bgColor theme="8" tint="-0.499984740745262"/>
                </patternFill>
              </fill>
            </x14:dxf>
          </x14:cfRule>
          <x14:cfRule type="expression" priority="626" id="{AE82A921-5B3E-4812-9681-10BE8214DE3D}">
            <xm:f>比例色代碼!G7=5</xm:f>
            <x14:dxf>
              <font>
                <color theme="2" tint="-0.499984740745262"/>
              </font>
              <fill>
                <patternFill>
                  <bgColor theme="6" tint="0.79998168889431442"/>
                </patternFill>
              </fill>
            </x14:dxf>
          </x14:cfRule>
          <x14:cfRule type="expression" priority="627" id="{C48C1B25-DE0F-4CFC-A2F5-7AE411DCD948}">
            <xm:f>比例色代碼!G7=4</xm:f>
            <x14:dxf>
              <font>
                <color theme="2" tint="-0.749961851863155"/>
              </font>
              <fill>
                <patternFill>
                  <bgColor theme="6" tint="0.59996337778862885"/>
                </patternFill>
              </fill>
            </x14:dxf>
          </x14:cfRule>
          <x14:cfRule type="expression" priority="628" id="{469E8046-F5C7-4326-AB0D-23589F4CDE7A}">
            <xm:f>比例色代碼!G7=3</xm:f>
            <x14:dxf>
              <font>
                <color theme="2" tint="-0.749961851863155"/>
              </font>
              <fill>
                <patternFill>
                  <bgColor theme="6" tint="0.39994506668294322"/>
                </patternFill>
              </fill>
            </x14:dxf>
          </x14:cfRule>
          <x14:cfRule type="expression" priority="629" id="{CFE12346-7906-486F-90FB-EF68FEC25C23}">
            <xm:f>比例色代碼!G7=2</xm:f>
            <x14:dxf>
              <font>
                <color theme="0"/>
              </font>
              <fill>
                <patternFill>
                  <bgColor theme="6" tint="-0.24994659260841701"/>
                </patternFill>
              </fill>
            </x14:dxf>
          </x14:cfRule>
          <x14:cfRule type="expression" priority="630" id="{6F2FFA49-6A1C-4FAF-B0B0-BA1F0156DFE4}">
            <xm:f>比例色代碼!G7=1</xm:f>
            <x14:dxf>
              <font>
                <color theme="0"/>
              </font>
              <fill>
                <patternFill>
                  <bgColor theme="6" tint="-0.499984740745262"/>
                </patternFill>
              </fill>
            </x14:dxf>
          </x14:cfRule>
          <xm:sqref>AX5 T7 Y7 AS7 BC7 AN10 AX10 Y12 AD12 AS12 BC12 H15 AI15 AN15 AX15 C17 M17 Y17 AD17 AS17 BC17 H20 AI20 AN20 AX20 C22 Y22 AD22 AS22 BC22 AX25 R27 W27 AB27 W32 AW32</xm:sqref>
        </x14:conditionalFormatting>
        <x14:conditionalFormatting xmlns:xm="http://schemas.microsoft.com/office/excel/2006/main">
          <x14:cfRule type="expression" priority="601" id="{1BE583B2-186E-4EDF-8607-C7FB22CC37D0}">
            <xm:f>比例色代碼!G9=5</xm:f>
            <x14:dxf>
              <font>
                <color theme="2" tint="-0.749961851863155"/>
              </font>
              <fill>
                <patternFill>
                  <bgColor rgb="FFEEFCFB"/>
                </patternFill>
              </fill>
            </x14:dxf>
          </x14:cfRule>
          <x14:cfRule type="expression" priority="602" id="{914AF897-6987-4250-A9B3-C6E0989A0821}">
            <xm:f>比例色代碼!G9=4</xm:f>
            <x14:dxf>
              <font>
                <color theme="2" tint="-0.749961851863155"/>
              </font>
              <fill>
                <patternFill>
                  <bgColor rgb="FFC3F4F3"/>
                </patternFill>
              </fill>
            </x14:dxf>
          </x14:cfRule>
          <x14:cfRule type="expression" priority="603" id="{A8553E95-CCAA-4E7E-9401-4BE5F8210EFC}">
            <xm:f>比例色代碼!G9=3</xm:f>
            <x14:dxf>
              <font>
                <color theme="2" tint="-0.749961851863155"/>
              </font>
              <fill>
                <patternFill>
                  <bgColor rgb="FF8FE9E7"/>
                </patternFill>
              </fill>
            </x14:dxf>
          </x14:cfRule>
          <x14:cfRule type="expression" priority="604" id="{6E68DC95-3386-42D2-A631-2B229F991CBC}">
            <xm:f>比例色代碼!G9=2</xm:f>
            <x14:dxf>
              <font>
                <color theme="0"/>
              </font>
              <fill>
                <patternFill>
                  <bgColor rgb="FF28C8C8"/>
                </patternFill>
              </fill>
            </x14:dxf>
          </x14:cfRule>
          <x14:cfRule type="expression" priority="605" id="{59676550-89AB-4115-BD99-7DB922FC0B57}">
            <xm:f>比例色代碼!G9=1</xm:f>
            <x14:dxf>
              <font>
                <color theme="0"/>
              </font>
              <fill>
                <patternFill>
                  <bgColor rgb="FF1D928F"/>
                </patternFill>
              </fill>
            </x14:dxf>
          </x14:cfRule>
          <x14:cfRule type="expression" priority="606" id="{CDA521DD-2881-4B46-875F-34390EF24F92}">
            <xm:f>比例色代碼!G8=5</xm:f>
            <x14:dxf>
              <font>
                <color theme="2" tint="-0.749961851863155"/>
              </font>
              <fill>
                <patternFill>
                  <bgColor theme="8" tint="0.79998168889431442"/>
                </patternFill>
              </fill>
            </x14:dxf>
          </x14:cfRule>
          <x14:cfRule type="expression" priority="607" id="{E1F2873E-060F-4D9B-8590-63A10984997B}">
            <xm:f>比例色代碼!G8=4</xm:f>
            <x14:dxf>
              <font>
                <color theme="2" tint="-0.749961851863155"/>
              </font>
              <fill>
                <patternFill>
                  <bgColor theme="8" tint="0.59996337778862885"/>
                </patternFill>
              </fill>
            </x14:dxf>
          </x14:cfRule>
          <x14:cfRule type="expression" priority="608" id="{3A0B7D3F-C988-4043-90AD-C8362BBEBA6D}">
            <xm:f>比例色代碼!G8=3</xm:f>
            <x14:dxf>
              <font>
                <color theme="2" tint="-0.749961851863155"/>
              </font>
              <fill>
                <patternFill>
                  <bgColor theme="8" tint="0.39994506668294322"/>
                </patternFill>
              </fill>
            </x14:dxf>
          </x14:cfRule>
          <x14:cfRule type="expression" priority="609" id="{53AA012D-53AA-4AE1-91ED-6A073B6E4EA5}">
            <xm:f>比例色代碼!G8=2</xm:f>
            <x14:dxf>
              <font>
                <color theme="0"/>
              </font>
              <fill>
                <patternFill>
                  <bgColor theme="8" tint="-0.24994659260841701"/>
                </patternFill>
              </fill>
            </x14:dxf>
          </x14:cfRule>
          <x14:cfRule type="expression" priority="610" id="{E9960B50-E765-467B-B5E5-4C84CBFF8E19}">
            <xm:f>比例色代碼!G8=1</xm:f>
            <x14:dxf>
              <font>
                <color theme="0"/>
              </font>
              <fill>
                <patternFill>
                  <bgColor theme="8" tint="-0.499984740745262"/>
                </patternFill>
              </fill>
            </x14:dxf>
          </x14:cfRule>
          <x14:cfRule type="expression" priority="611" id="{65100848-B03B-4FD3-BADE-C2FDCE1700B0}">
            <xm:f>比例色代碼!G7=5</xm:f>
            <x14:dxf>
              <font>
                <color theme="2" tint="-0.499984740745262"/>
              </font>
              <fill>
                <patternFill>
                  <bgColor theme="6" tint="0.79998168889431442"/>
                </patternFill>
              </fill>
            </x14:dxf>
          </x14:cfRule>
          <x14:cfRule type="expression" priority="612" id="{35F86730-A71F-40F1-9C15-51B36BD3D0D3}">
            <xm:f>比例色代碼!G7=4</xm:f>
            <x14:dxf>
              <font>
                <color theme="2" tint="-0.749961851863155"/>
              </font>
              <fill>
                <patternFill>
                  <bgColor theme="6" tint="0.59996337778862885"/>
                </patternFill>
              </fill>
            </x14:dxf>
          </x14:cfRule>
          <x14:cfRule type="expression" priority="613" id="{8CB82F2A-7FB6-43CD-B274-C205702B9865}">
            <xm:f>比例色代碼!G7=3</xm:f>
            <x14:dxf>
              <font>
                <color theme="2" tint="-0.749961851863155"/>
              </font>
              <fill>
                <patternFill>
                  <bgColor theme="6" tint="0.39994506668294322"/>
                </patternFill>
              </fill>
            </x14:dxf>
          </x14:cfRule>
          <x14:cfRule type="expression" priority="614" id="{3C9F938B-9CEC-48CE-8233-8781A6E0B76E}">
            <xm:f>比例色代碼!G7=2</xm:f>
            <x14:dxf>
              <font>
                <color theme="0"/>
              </font>
              <fill>
                <patternFill>
                  <bgColor theme="6" tint="-0.24994659260841701"/>
                </patternFill>
              </fill>
            </x14:dxf>
          </x14:cfRule>
          <x14:cfRule type="expression" priority="615" id="{92CBF7D7-7131-4248-A957-A3FEF26A62CC}">
            <xm:f>比例色代碼!G7=1</xm:f>
            <x14:dxf>
              <font>
                <color theme="0"/>
              </font>
              <fill>
                <patternFill>
                  <bgColor theme="6" tint="-0.499984740745262"/>
                </patternFill>
              </fill>
            </x14:dxf>
          </x14:cfRule>
          <xm:sqref>AX7 T9 Y9 AS9 BC9 AN12 AX12 Y14 AD14 AS14 BC14 H17 AI17 AN17 AX17 C19 M19 Y19 AD19 AS19 BC19 H22 AI22 AN22 AX22 C24 Y24 AD24 AS24 BC24 AX27 R29 W29 AB29 W34 AW34</xm:sqref>
        </x14:conditionalFormatting>
        <x14:conditionalFormatting xmlns:xm="http://schemas.microsoft.com/office/excel/2006/main">
          <x14:cfRule type="expression" priority="541" id="{66C4F814-2980-4E1F-979E-7F4342937204}">
            <xm:f>比例色代碼!G9=5</xm:f>
            <x14:dxf>
              <font>
                <color theme="2" tint="-0.749961851863155"/>
              </font>
              <fill>
                <patternFill>
                  <bgColor rgb="FFEEFCFB"/>
                </patternFill>
              </fill>
            </x14:dxf>
          </x14:cfRule>
          <x14:cfRule type="expression" priority="542" id="{DC8EF748-B975-45B2-8664-EDD9E7FB62EF}">
            <xm:f>比例色代碼!G9=4</xm:f>
            <x14:dxf>
              <font>
                <color theme="2" tint="-0.749961851863155"/>
              </font>
              <fill>
                <patternFill>
                  <bgColor rgb="FFC3F4F3"/>
                </patternFill>
              </fill>
            </x14:dxf>
          </x14:cfRule>
          <x14:cfRule type="expression" priority="543" id="{4E217D5A-E1A6-4EBD-BC8D-38616F83F501}">
            <xm:f>比例色代碼!G9=3</xm:f>
            <x14:dxf>
              <font>
                <color theme="2" tint="-0.749961851863155"/>
              </font>
              <fill>
                <patternFill>
                  <bgColor rgb="FF8FE9E7"/>
                </patternFill>
              </fill>
            </x14:dxf>
          </x14:cfRule>
          <x14:cfRule type="expression" priority="544" id="{3A5C48BE-1D4F-4D1D-8A41-491778BDB5BF}">
            <xm:f>比例色代碼!G9=2</xm:f>
            <x14:dxf>
              <font>
                <color theme="0"/>
              </font>
              <fill>
                <patternFill>
                  <bgColor rgb="FF28C8C8"/>
                </patternFill>
              </fill>
            </x14:dxf>
          </x14:cfRule>
          <x14:cfRule type="expression" priority="545" id="{181A649C-7285-46FD-B386-CB402954FA3E}">
            <xm:f>比例色代碼!G9=1</xm:f>
            <x14:dxf>
              <font>
                <color theme="0"/>
              </font>
              <fill>
                <patternFill>
                  <bgColor rgb="FF1D928F"/>
                </patternFill>
              </fill>
            </x14:dxf>
          </x14:cfRule>
          <x14:cfRule type="expression" priority="546" id="{5D524103-13A1-458F-87DF-403FC5A8A069}">
            <xm:f>比例色代碼!G8=5</xm:f>
            <x14:dxf>
              <font>
                <color theme="2" tint="-0.749961851863155"/>
              </font>
              <fill>
                <patternFill>
                  <bgColor theme="8" tint="0.79998168889431442"/>
                </patternFill>
              </fill>
            </x14:dxf>
          </x14:cfRule>
          <x14:cfRule type="expression" priority="547" id="{C2A1444B-28F4-4CFC-AA83-5C9D05FA7A5F}">
            <xm:f>比例色代碼!G8=4</xm:f>
            <x14:dxf>
              <font>
                <color theme="2" tint="-0.749961851863155"/>
              </font>
              <fill>
                <patternFill>
                  <bgColor theme="8" tint="0.59996337778862885"/>
                </patternFill>
              </fill>
            </x14:dxf>
          </x14:cfRule>
          <x14:cfRule type="expression" priority="548" id="{20CF3F5D-B065-4899-9FF3-E8733BB75B3A}">
            <xm:f>比例色代碼!G8=3</xm:f>
            <x14:dxf>
              <font>
                <color theme="2" tint="-0.749961851863155"/>
              </font>
              <fill>
                <patternFill>
                  <bgColor theme="8" tint="0.39994506668294322"/>
                </patternFill>
              </fill>
            </x14:dxf>
          </x14:cfRule>
          <x14:cfRule type="expression" priority="549" id="{CAE2F207-E58C-473B-AF40-3214035A6D1E}">
            <xm:f>比例色代碼!G8=2</xm:f>
            <x14:dxf>
              <font>
                <color theme="0"/>
              </font>
              <fill>
                <patternFill>
                  <bgColor theme="8" tint="-0.24994659260841701"/>
                </patternFill>
              </fill>
            </x14:dxf>
          </x14:cfRule>
          <x14:cfRule type="expression" priority="550" id="{2026D425-E6D0-4D24-8D67-C8472631695F}">
            <xm:f>比例色代碼!G8=1</xm:f>
            <x14:dxf>
              <font>
                <color theme="0"/>
              </font>
              <fill>
                <patternFill>
                  <bgColor theme="8" tint="-0.499984740745262"/>
                </patternFill>
              </fill>
            </x14:dxf>
          </x14:cfRule>
          <x14:cfRule type="expression" priority="551" id="{226E2BEC-D63E-48CF-8CA2-5AE667C5AC3E}">
            <xm:f>比例色代碼!G7=5</xm:f>
            <x14:dxf>
              <font>
                <color theme="2" tint="-0.749961851863155"/>
              </font>
              <fill>
                <patternFill>
                  <bgColor theme="6" tint="0.79998168889431442"/>
                </patternFill>
              </fill>
            </x14:dxf>
          </x14:cfRule>
          <x14:cfRule type="expression" priority="552" id="{0F0D92BC-8276-4AE2-B133-53FD5DAB0486}">
            <xm:f>比例色代碼!G7=4</xm:f>
            <x14:dxf>
              <font>
                <color theme="2" tint="-0.749961851863155"/>
              </font>
              <fill>
                <patternFill>
                  <bgColor theme="6" tint="0.59996337778862885"/>
                </patternFill>
              </fill>
            </x14:dxf>
          </x14:cfRule>
          <x14:cfRule type="expression" priority="553" id="{D25972C5-66FB-472D-A0B8-1767E3459DEF}">
            <xm:f>比例色代碼!G7=3</xm:f>
            <x14:dxf>
              <font>
                <color theme="2" tint="-0.749961851863155"/>
              </font>
              <fill>
                <patternFill>
                  <bgColor theme="6" tint="0.39994506668294322"/>
                </patternFill>
              </fill>
            </x14:dxf>
          </x14:cfRule>
          <x14:cfRule type="expression" priority="554" id="{6B63ECE1-6E38-4FF8-AB27-CE319CD1D4F8}">
            <xm:f>比例色代碼!G7=2</xm:f>
            <x14:dxf>
              <font>
                <color theme="0"/>
              </font>
              <fill>
                <patternFill>
                  <bgColor theme="6" tint="-0.24994659260841701"/>
                </patternFill>
              </fill>
            </x14:dxf>
          </x14:cfRule>
          <x14:cfRule type="expression" priority="555" id="{20188489-57F3-4C50-8B4A-CA4C06FB840E}">
            <xm:f>比例色代碼!G7=1</xm:f>
            <x14:dxf>
              <font>
                <color theme="0"/>
              </font>
              <fill>
                <patternFill>
                  <bgColor theme="6" tint="-0.499984740745262"/>
                </patternFill>
              </fill>
            </x14:dxf>
          </x14:cfRule>
          <xm:sqref>AX8 T10 Y10 AS10 BC10 AN13 AX13 Y15 AD15 AS15 BC15 H18 AI18 AN18 AX18 C20 M20 Y20 AD20 AS20 BC20 H23 AI23 AN23 AX23 C25 Y25 AD25 AS25 BC25 AX28 R30 W30 AB30 W35 AW35</xm:sqref>
        </x14:conditionalFormatting>
        <x14:conditionalFormatting xmlns:xm="http://schemas.microsoft.com/office/excel/2006/main">
          <x14:cfRule type="expression" priority="586" id="{390872A8-7358-477C-A9B0-2A3C18FBE001}">
            <xm:f>比例色代碼!G9=5</xm:f>
            <x14:dxf>
              <font>
                <color theme="2" tint="-0.749961851863155"/>
              </font>
              <fill>
                <patternFill>
                  <bgColor rgb="FFEEFCFB"/>
                </patternFill>
              </fill>
            </x14:dxf>
          </x14:cfRule>
          <x14:cfRule type="expression" priority="587" id="{F4B2DCEA-8EEF-4965-A7C4-0165C8215B45}">
            <xm:f>比例色代碼!G9=4</xm:f>
            <x14:dxf>
              <font>
                <color theme="2" tint="-0.749961851863155"/>
              </font>
              <fill>
                <patternFill>
                  <bgColor rgb="FFC3F4F3"/>
                </patternFill>
              </fill>
            </x14:dxf>
          </x14:cfRule>
          <x14:cfRule type="expression" priority="588" id="{69F4FE36-7AE1-4762-86EE-113A1C0006EA}">
            <xm:f>比例色代碼!G9=3</xm:f>
            <x14:dxf>
              <font>
                <color theme="2" tint="-0.749961851863155"/>
              </font>
              <fill>
                <patternFill>
                  <bgColor rgb="FF8FE9E7"/>
                </patternFill>
              </fill>
            </x14:dxf>
          </x14:cfRule>
          <x14:cfRule type="expression" priority="589" id="{F29FDDFA-C06F-4A58-A05B-DB13100ADC31}">
            <xm:f>比例色代碼!G9=2</xm:f>
            <x14:dxf>
              <font>
                <color theme="0"/>
              </font>
              <fill>
                <patternFill>
                  <bgColor rgb="FF28C8C8"/>
                </patternFill>
              </fill>
            </x14:dxf>
          </x14:cfRule>
          <x14:cfRule type="expression" priority="590" id="{A00B1466-F904-44E3-9793-B6C785F9315B}">
            <xm:f>比例色代碼!G9=1</xm:f>
            <x14:dxf>
              <font>
                <color theme="0"/>
              </font>
              <fill>
                <patternFill>
                  <bgColor rgb="FF1D928F"/>
                </patternFill>
              </fill>
            </x14:dxf>
          </x14:cfRule>
          <x14:cfRule type="expression" priority="591" id="{98970966-8153-444F-8CC2-F5D97497EB82}">
            <xm:f>比例色代碼!G8=5</xm:f>
            <x14:dxf>
              <font>
                <color theme="2" tint="-0.749961851863155"/>
              </font>
              <fill>
                <patternFill>
                  <bgColor theme="8" tint="0.79998168889431442"/>
                </patternFill>
              </fill>
            </x14:dxf>
          </x14:cfRule>
          <x14:cfRule type="expression" priority="592" id="{758507BD-D798-423F-81B0-B75E2990140E}">
            <xm:f>比例色代碼!G8=4</xm:f>
            <x14:dxf>
              <font>
                <color theme="2" tint="-0.749961851863155"/>
              </font>
              <fill>
                <patternFill>
                  <bgColor theme="8" tint="0.59996337778862885"/>
                </patternFill>
              </fill>
            </x14:dxf>
          </x14:cfRule>
          <x14:cfRule type="expression" priority="593" id="{5F7BAAF0-DBE1-49B1-BFC2-B62CA462A24B}">
            <xm:f>比例色代碼!G8=3</xm:f>
            <x14:dxf>
              <font>
                <color theme="2" tint="-0.749961851863155"/>
              </font>
              <fill>
                <patternFill>
                  <bgColor theme="8" tint="0.39994506668294322"/>
                </patternFill>
              </fill>
            </x14:dxf>
          </x14:cfRule>
          <x14:cfRule type="expression" priority="594" id="{7C4620D4-ECFA-44E4-BE4C-AF5F56F77ECF}">
            <xm:f>比例色代碼!G8=2</xm:f>
            <x14:dxf>
              <font>
                <color theme="0"/>
              </font>
              <fill>
                <patternFill>
                  <bgColor theme="8" tint="-0.24994659260841701"/>
                </patternFill>
              </fill>
            </x14:dxf>
          </x14:cfRule>
          <x14:cfRule type="expression" priority="595" id="{86C93E69-AC07-44CE-AE2D-BD882FA7A7AE}">
            <xm:f>比例色代碼!G8=1</xm:f>
            <x14:dxf>
              <font>
                <color theme="0"/>
              </font>
              <fill>
                <patternFill>
                  <bgColor theme="8" tint="-0.499984740745262"/>
                </patternFill>
              </fill>
            </x14:dxf>
          </x14:cfRule>
          <x14:cfRule type="expression" priority="596" id="{BC432B68-5D48-457E-8CA2-7D59A23DA743}">
            <xm:f>比例色代碼!G7=5</xm:f>
            <x14:dxf>
              <font>
                <color theme="2" tint="-0.499984740745262"/>
              </font>
              <fill>
                <patternFill>
                  <bgColor theme="6" tint="0.79998168889431442"/>
                </patternFill>
              </fill>
            </x14:dxf>
          </x14:cfRule>
          <x14:cfRule type="expression" priority="597" id="{C7AA6E1F-85E6-428F-A30B-0CCBDE0F30C9}">
            <xm:f>比例色代碼!G7=4</xm:f>
            <x14:dxf>
              <font>
                <color theme="2" tint="-0.749961851863155"/>
              </font>
              <fill>
                <patternFill>
                  <bgColor theme="6" tint="0.59996337778862885"/>
                </patternFill>
              </fill>
            </x14:dxf>
          </x14:cfRule>
          <x14:cfRule type="expression" priority="598" id="{1403BFAA-D276-4291-8C0A-6CEE77905159}">
            <xm:f>比例色代碼!G7=3</xm:f>
            <x14:dxf>
              <font>
                <color theme="2" tint="-0.749961851863155"/>
              </font>
              <fill>
                <patternFill>
                  <bgColor theme="6" tint="0.39994506668294322"/>
                </patternFill>
              </fill>
            </x14:dxf>
          </x14:cfRule>
          <x14:cfRule type="expression" priority="599" id="{A3490C61-2E33-4456-8CEC-C4F69EC9D5BD}">
            <xm:f>比例色代碼!G7=2</xm:f>
            <x14:dxf>
              <font>
                <color theme="0"/>
              </font>
              <fill>
                <patternFill>
                  <bgColor theme="6" tint="-0.24994659260841701"/>
                </patternFill>
              </fill>
            </x14:dxf>
          </x14:cfRule>
          <x14:cfRule type="expression" priority="600" id="{29B018CD-07BE-4D1B-A412-F505CCB88D65}">
            <xm:f>比例色代碼!G7=1</xm:f>
            <x14:dxf>
              <font>
                <color theme="0"/>
              </font>
              <fill>
                <patternFill>
                  <bgColor theme="6" tint="-0.499984740745262"/>
                </patternFill>
              </fill>
            </x14:dxf>
          </x14:cfRule>
          <xm:sqref>AX9 T11 Y11 AS11 BC11 AN14 AX14 Y16 AD16 AS16 BC16 H19 AI19 AN19 AX19 C21 M21 Y21 AD21 AS21 BC21 H24 AI24 AN24 AX24 C26 Y26 AD26 AS26 BC26 AX29 R31 W31 AB31 W36 AW36</xm:sqref>
        </x14:conditionalFormatting>
        <x14:conditionalFormatting xmlns:xm="http://schemas.microsoft.com/office/excel/2006/main">
          <x14:cfRule type="expression" priority="526" id="{8DBFBDA4-47CF-4F2D-9419-6D9F5462E749}">
            <xm:f>比例色代碼!G9=5</xm:f>
            <x14:dxf>
              <font>
                <color theme="2" tint="-0.749961851863155"/>
              </font>
              <fill>
                <patternFill>
                  <bgColor rgb="FFEEFCFB"/>
                </patternFill>
              </fill>
            </x14:dxf>
          </x14:cfRule>
          <x14:cfRule type="expression" priority="527" id="{E63319BC-724D-471F-9B66-B6D2C3924EA5}">
            <xm:f>比例色代碼!G9=4</xm:f>
            <x14:dxf>
              <font>
                <color theme="2" tint="-0.749961851863155"/>
              </font>
              <fill>
                <patternFill>
                  <bgColor rgb="FFC3F4F3"/>
                </patternFill>
              </fill>
            </x14:dxf>
          </x14:cfRule>
          <x14:cfRule type="expression" priority="528" id="{10AC7075-5F74-4DE7-BE98-2217A4A2C5F9}">
            <xm:f>比例色代碼!G9=3</xm:f>
            <x14:dxf>
              <font>
                <color theme="2" tint="-0.749961851863155"/>
              </font>
              <fill>
                <patternFill>
                  <bgColor rgb="FF8FE9E7"/>
                </patternFill>
              </fill>
            </x14:dxf>
          </x14:cfRule>
          <x14:cfRule type="expression" priority="529" id="{4EE11900-6EA4-46CE-B1DD-11EA0B3F5613}">
            <xm:f>比例色代碼!G9=2</xm:f>
            <x14:dxf>
              <font>
                <color theme="0"/>
              </font>
              <fill>
                <patternFill>
                  <bgColor rgb="FF28C8C8"/>
                </patternFill>
              </fill>
            </x14:dxf>
          </x14:cfRule>
          <x14:cfRule type="expression" priority="530" id="{18DFA0D4-FA90-44D1-8FC6-82C7B007C079}">
            <xm:f>比例色代碼!G9=1</xm:f>
            <x14:dxf>
              <font>
                <color theme="0"/>
              </font>
              <fill>
                <patternFill>
                  <bgColor rgb="FF1D928F"/>
                </patternFill>
              </fill>
            </x14:dxf>
          </x14:cfRule>
          <x14:cfRule type="expression" priority="531" id="{76A5D114-83DA-4BA2-AAB3-59A333DE2061}">
            <xm:f>比例色代碼!G8=5</xm:f>
            <x14:dxf>
              <font>
                <color theme="2" tint="-0.749961851863155"/>
              </font>
              <fill>
                <patternFill>
                  <bgColor theme="8" tint="0.79998168889431442"/>
                </patternFill>
              </fill>
            </x14:dxf>
          </x14:cfRule>
          <x14:cfRule type="expression" priority="532" id="{41ACD412-27CB-479F-AB30-D91BAC932C73}">
            <xm:f>比例色代碼!G8=4</xm:f>
            <x14:dxf>
              <font>
                <color theme="2" tint="-0.749961851863155"/>
              </font>
              <fill>
                <patternFill>
                  <bgColor theme="8" tint="0.59996337778862885"/>
                </patternFill>
              </fill>
            </x14:dxf>
          </x14:cfRule>
          <x14:cfRule type="expression" priority="533" id="{CAA2A703-4C5E-49E6-A8DD-A31802E5A4AF}">
            <xm:f>比例色代碼!G8=3</xm:f>
            <x14:dxf>
              <font>
                <color theme="2" tint="-0.749961851863155"/>
              </font>
              <fill>
                <patternFill>
                  <bgColor theme="8" tint="0.39994506668294322"/>
                </patternFill>
              </fill>
            </x14:dxf>
          </x14:cfRule>
          <x14:cfRule type="expression" priority="534" id="{15C1986B-A420-4FBD-B6EA-FC34D6C16C81}">
            <xm:f>比例色代碼!G8=2</xm:f>
            <x14:dxf>
              <font>
                <color theme="0"/>
              </font>
              <fill>
                <patternFill>
                  <bgColor theme="8" tint="-0.24994659260841701"/>
                </patternFill>
              </fill>
            </x14:dxf>
          </x14:cfRule>
          <x14:cfRule type="expression" priority="535" id="{C6F5404F-A621-4C2B-AB26-0E037193BE1A}">
            <xm:f>比例色代碼!G8=1</xm:f>
            <x14:dxf>
              <font>
                <color theme="0"/>
              </font>
              <fill>
                <patternFill>
                  <bgColor theme="8" tint="-0.499984740745262"/>
                </patternFill>
              </fill>
            </x14:dxf>
          </x14:cfRule>
          <x14:cfRule type="expression" priority="536" id="{559072B3-A2BB-484F-A21E-9CF5255D199B}">
            <xm:f>比例色代碼!G7=5</xm:f>
            <x14:dxf>
              <font>
                <color theme="2" tint="-0.749961851863155"/>
              </font>
              <fill>
                <patternFill>
                  <bgColor theme="6" tint="0.79998168889431442"/>
                </patternFill>
              </fill>
            </x14:dxf>
          </x14:cfRule>
          <x14:cfRule type="expression" priority="537" id="{277115AA-CABE-4677-8174-2424BABE4D29}">
            <xm:f>比例色代碼!G7=4</xm:f>
            <x14:dxf>
              <font>
                <color theme="2" tint="-0.749961851863155"/>
              </font>
              <fill>
                <patternFill>
                  <bgColor theme="6" tint="0.59996337778862885"/>
                </patternFill>
              </fill>
            </x14:dxf>
          </x14:cfRule>
          <x14:cfRule type="expression" priority="538" id="{DD63E183-A492-458C-BD40-5BD2D1AA8D2D}">
            <xm:f>比例色代碼!G7=3</xm:f>
            <x14:dxf>
              <font>
                <color theme="2" tint="-0.749961851863155"/>
              </font>
              <fill>
                <patternFill>
                  <bgColor theme="6" tint="0.39994506668294322"/>
                </patternFill>
              </fill>
            </x14:dxf>
          </x14:cfRule>
          <x14:cfRule type="expression" priority="539" id="{05EBA43E-C1F4-4ED0-A62E-94F3507D55C7}">
            <xm:f>比例色代碼!G7=2</xm:f>
            <x14:dxf>
              <font>
                <color theme="0"/>
              </font>
              <fill>
                <patternFill>
                  <bgColor theme="6" tint="-0.24994659260841701"/>
                </patternFill>
              </fill>
            </x14:dxf>
          </x14:cfRule>
          <x14:cfRule type="expression" priority="540" id="{D5E97E30-06E8-44D2-87D4-FCF3676712D3}">
            <xm:f>比例色代碼!G7=1</xm:f>
            <x14:dxf>
              <font>
                <color theme="0"/>
              </font>
              <fill>
                <patternFill>
                  <bgColor theme="6" tint="-0.499984740745262"/>
                </patternFill>
              </fill>
            </x14:dxf>
          </x14:cfRule>
          <xm:sqref>BA7 W9 AB9 AV9 BF9 AQ12 BA12 AB14 AG14 AV14 BF14 K17 AL17 AQ17 BA17 F19 P19 AB19 AG19 AV19 BF19 K22 AL22 AQ22 BA22 F24 AB24 AG24 AV24 BF24 BA27 U29 Z29 AE29 Z34 AZ34</xm:sqref>
        </x14:conditionalFormatting>
        <x14:conditionalFormatting xmlns:xm="http://schemas.microsoft.com/office/excel/2006/main">
          <x14:cfRule type="expression" priority="571" id="{B1C0C374-2B4D-498C-A0D8-C6DAA3966A47}">
            <xm:f>比例色代碼!G9=5</xm:f>
            <x14:dxf>
              <font>
                <color theme="2" tint="-0.749961851863155"/>
              </font>
              <fill>
                <patternFill>
                  <bgColor rgb="FFEEFCFB"/>
                </patternFill>
              </fill>
            </x14:dxf>
          </x14:cfRule>
          <x14:cfRule type="expression" priority="572" id="{A8BCAE26-B121-4C0B-AAD2-C7E18FDB57EF}">
            <xm:f>比例色代碼!G9=4</xm:f>
            <x14:dxf>
              <font>
                <color theme="2" tint="-0.749961851863155"/>
              </font>
              <fill>
                <patternFill>
                  <bgColor rgb="FFC3F4F3"/>
                </patternFill>
              </fill>
            </x14:dxf>
          </x14:cfRule>
          <x14:cfRule type="expression" priority="573" id="{A1296942-28B9-4277-A498-56DCEA941D02}">
            <xm:f>比例色代碼!G9=3</xm:f>
            <x14:dxf>
              <font>
                <color theme="2" tint="-0.749961851863155"/>
              </font>
              <fill>
                <patternFill>
                  <bgColor rgb="FF8FE9E7"/>
                </patternFill>
              </fill>
            </x14:dxf>
          </x14:cfRule>
          <x14:cfRule type="expression" priority="574" id="{79F106E7-4B1F-42A2-8573-933879D871FF}">
            <xm:f>比例色代碼!G9=2</xm:f>
            <x14:dxf>
              <font>
                <color theme="0"/>
              </font>
              <fill>
                <patternFill>
                  <bgColor rgb="FF28C8C8"/>
                </patternFill>
              </fill>
            </x14:dxf>
          </x14:cfRule>
          <x14:cfRule type="expression" priority="575" id="{7FBD55AF-9D3A-4C3B-A977-16536FD7BD3C}">
            <xm:f>比例色代碼!G9=1</xm:f>
            <x14:dxf>
              <font>
                <color theme="0"/>
              </font>
              <fill>
                <patternFill>
                  <bgColor rgb="FF1D928F"/>
                </patternFill>
              </fill>
            </x14:dxf>
          </x14:cfRule>
          <x14:cfRule type="expression" priority="576" id="{883ECCEE-1A31-434C-A820-064A1671F0B9}">
            <xm:f>比例色代碼!G8=5</xm:f>
            <x14:dxf>
              <font>
                <color theme="2" tint="-0.749961851863155"/>
              </font>
              <fill>
                <patternFill>
                  <bgColor theme="8" tint="0.79998168889431442"/>
                </patternFill>
              </fill>
            </x14:dxf>
          </x14:cfRule>
          <x14:cfRule type="expression" priority="577" id="{CE856370-F8AF-4A07-898B-A0B6733AA253}">
            <xm:f>比例色代碼!G8=4</xm:f>
            <x14:dxf>
              <font>
                <color theme="2" tint="-0.749961851863155"/>
              </font>
              <fill>
                <patternFill>
                  <bgColor theme="8" tint="0.59996337778862885"/>
                </patternFill>
              </fill>
            </x14:dxf>
          </x14:cfRule>
          <x14:cfRule type="expression" priority="578" id="{755608AA-58CB-4BC4-82A5-752DF95D88BC}">
            <xm:f>比例色代碼!G8=3</xm:f>
            <x14:dxf>
              <font>
                <color theme="2" tint="-0.749961851863155"/>
              </font>
              <fill>
                <patternFill>
                  <bgColor theme="8" tint="0.39994506668294322"/>
                </patternFill>
              </fill>
            </x14:dxf>
          </x14:cfRule>
          <x14:cfRule type="expression" priority="579" id="{C724A9EE-5C48-4580-8402-8CE2F00B4BFB}">
            <xm:f>比例色代碼!G8=2</xm:f>
            <x14:dxf>
              <font>
                <color theme="0"/>
              </font>
              <fill>
                <patternFill>
                  <bgColor theme="8" tint="-0.24994659260841701"/>
                </patternFill>
              </fill>
            </x14:dxf>
          </x14:cfRule>
          <x14:cfRule type="expression" priority="580" id="{EED343E8-FB4E-49AB-A573-5B3D8A943E21}">
            <xm:f>比例色代碼!G8=1</xm:f>
            <x14:dxf>
              <font>
                <color theme="0"/>
              </font>
              <fill>
                <patternFill>
                  <bgColor theme="8" tint="-0.499984740745262"/>
                </patternFill>
              </fill>
            </x14:dxf>
          </x14:cfRule>
          <x14:cfRule type="expression" priority="581" id="{43F7EF6B-C3B7-4C22-84E9-3D8F069E3D35}">
            <xm:f>比例色代碼!G7=5</xm:f>
            <x14:dxf>
              <font>
                <color theme="2" tint="-0.499984740745262"/>
              </font>
              <fill>
                <patternFill>
                  <bgColor theme="6" tint="0.79998168889431442"/>
                </patternFill>
              </fill>
            </x14:dxf>
          </x14:cfRule>
          <x14:cfRule type="expression" priority="582" id="{37B71730-17FD-4395-8305-449A1EEA8E6E}">
            <xm:f>比例色代碼!G7=4</xm:f>
            <x14:dxf>
              <font>
                <color theme="2" tint="-0.749961851863155"/>
              </font>
              <fill>
                <patternFill>
                  <bgColor theme="6" tint="0.59996337778862885"/>
                </patternFill>
              </fill>
            </x14:dxf>
          </x14:cfRule>
          <x14:cfRule type="expression" priority="583" id="{A22D4A3F-3320-4030-8814-323AC8BE5DE2}">
            <xm:f>比例色代碼!G7=3</xm:f>
            <x14:dxf>
              <font>
                <color theme="2" tint="-0.749961851863155"/>
              </font>
              <fill>
                <patternFill>
                  <bgColor theme="6" tint="0.39994506668294322"/>
                </patternFill>
              </fill>
            </x14:dxf>
          </x14:cfRule>
          <x14:cfRule type="expression" priority="584" id="{02BDC515-8F00-4722-B5B4-21A8517EAE6A}">
            <xm:f>比例色代碼!G7=2</xm:f>
            <x14:dxf>
              <font>
                <color theme="0"/>
              </font>
              <fill>
                <patternFill>
                  <bgColor theme="6" tint="-0.24994659260841701"/>
                </patternFill>
              </fill>
            </x14:dxf>
          </x14:cfRule>
          <x14:cfRule type="expression" priority="585" id="{E47C6DCF-1375-4299-9C21-FFCBA168A021}">
            <xm:f>比例色代碼!G7=1</xm:f>
            <x14:dxf>
              <font>
                <color theme="0"/>
              </font>
              <fill>
                <patternFill>
                  <bgColor theme="6" tint="-0.499984740745262"/>
                </patternFill>
              </fill>
            </x14:dxf>
          </x14:cfRule>
          <xm:sqref>BA8 W10 AB10 AV10 BF10 AQ13 BA13 AB15 AG15 AV15 BF15 K18 AL18 AQ18 BA18 F20 P20 AB20 AG20 AV20 BF20 K23 AL23 AQ23 BA23 F25 AB25 AG25 AV25 BF25 BA28 U30 Z30 AE30 Z35 AZ35</xm:sqref>
        </x14:conditionalFormatting>
        <x14:conditionalFormatting xmlns:xm="http://schemas.microsoft.com/office/excel/2006/main">
          <x14:cfRule type="expression" priority="556" id="{35BE9465-1D0F-4F5D-B4C0-C4D4FF564051}">
            <xm:f>比例色代碼!G9=5</xm:f>
            <x14:dxf>
              <font>
                <color theme="2" tint="-0.749961851863155"/>
              </font>
              <fill>
                <patternFill>
                  <bgColor rgb="FFEEFCFB"/>
                </patternFill>
              </fill>
            </x14:dxf>
          </x14:cfRule>
          <x14:cfRule type="expression" priority="557" id="{A8D7B583-4851-4A78-A3C7-0B391A1E7692}">
            <xm:f>比例色代碼!G9=4</xm:f>
            <x14:dxf>
              <font>
                <color theme="2" tint="-0.749961851863155"/>
              </font>
              <fill>
                <patternFill>
                  <bgColor rgb="FFC3F4F3"/>
                </patternFill>
              </fill>
            </x14:dxf>
          </x14:cfRule>
          <x14:cfRule type="expression" priority="558" id="{12961CD4-641F-442E-8528-65CC8DBBD36F}">
            <xm:f>比例色代碼!G9=3</xm:f>
            <x14:dxf>
              <font>
                <color theme="2" tint="-0.749961851863155"/>
              </font>
              <fill>
                <patternFill>
                  <bgColor rgb="FF8FE9E7"/>
                </patternFill>
              </fill>
            </x14:dxf>
          </x14:cfRule>
          <x14:cfRule type="expression" priority="559" id="{C7AD4290-EE35-43E2-981E-07BC1A2FEB49}">
            <xm:f>比例色代碼!G9=2</xm:f>
            <x14:dxf>
              <font>
                <color theme="0"/>
              </font>
              <fill>
                <patternFill>
                  <bgColor rgb="FF28C8C8"/>
                </patternFill>
              </fill>
            </x14:dxf>
          </x14:cfRule>
          <x14:cfRule type="expression" priority="560" id="{5F11BFC8-DF0B-419E-8238-366D0ACDAC78}">
            <xm:f>比例色代碼!G9=1</xm:f>
            <x14:dxf>
              <font>
                <color theme="0"/>
              </font>
              <fill>
                <patternFill>
                  <bgColor rgb="FF1D928F"/>
                </patternFill>
              </fill>
            </x14:dxf>
          </x14:cfRule>
          <x14:cfRule type="expression" priority="561" id="{973379C4-08C0-4454-915B-96BDEADBA0CF}">
            <xm:f>比例色代碼!G8=5</xm:f>
            <x14:dxf>
              <font>
                <color theme="2" tint="-0.749961851863155"/>
              </font>
              <fill>
                <patternFill>
                  <bgColor theme="8" tint="0.79998168889431442"/>
                </patternFill>
              </fill>
            </x14:dxf>
          </x14:cfRule>
          <x14:cfRule type="expression" priority="562" id="{B88C3E21-6CAC-45A7-9E21-724A627CC7D3}">
            <xm:f>比例色代碼!G8=4</xm:f>
            <x14:dxf>
              <font>
                <color theme="2" tint="-0.749961851863155"/>
              </font>
              <fill>
                <patternFill>
                  <bgColor theme="8" tint="0.59996337778862885"/>
                </patternFill>
              </fill>
            </x14:dxf>
          </x14:cfRule>
          <x14:cfRule type="expression" priority="563" id="{2C5BB594-D57F-49F0-9DFA-6C30567697CC}">
            <xm:f>比例色代碼!G8=3</xm:f>
            <x14:dxf>
              <font>
                <color theme="2" tint="-0.749961851863155"/>
              </font>
              <fill>
                <patternFill>
                  <bgColor theme="8" tint="0.39994506668294322"/>
                </patternFill>
              </fill>
            </x14:dxf>
          </x14:cfRule>
          <x14:cfRule type="expression" priority="564" id="{3F3AB6D8-71FB-404F-A34A-03EFDE98F362}">
            <xm:f>比例色代碼!G8=2</xm:f>
            <x14:dxf>
              <font>
                <color theme="0"/>
              </font>
              <fill>
                <patternFill>
                  <bgColor theme="8" tint="-0.24994659260841701"/>
                </patternFill>
              </fill>
            </x14:dxf>
          </x14:cfRule>
          <x14:cfRule type="expression" priority="565" id="{B49CF8E4-745F-4932-9208-CA4D9C48FA5A}">
            <xm:f>比例色代碼!G8=1</xm:f>
            <x14:dxf>
              <font>
                <color theme="0"/>
              </font>
              <fill>
                <patternFill>
                  <bgColor theme="8" tint="-0.499984740745262"/>
                </patternFill>
              </fill>
            </x14:dxf>
          </x14:cfRule>
          <x14:cfRule type="expression" priority="566" id="{15A77482-5850-4406-96A4-8B1D2359E91C}">
            <xm:f>比例色代碼!G7=5</xm:f>
            <x14:dxf>
              <font>
                <color theme="2" tint="-0.499984740745262"/>
              </font>
              <fill>
                <patternFill>
                  <bgColor theme="6" tint="0.79998168889431442"/>
                </patternFill>
              </fill>
            </x14:dxf>
          </x14:cfRule>
          <x14:cfRule type="expression" priority="567" id="{3E32A999-3EFE-477C-B8F6-0F02CEC9BE8E}">
            <xm:f>比例色代碼!G7=4</xm:f>
            <x14:dxf>
              <font>
                <color theme="2" tint="-0.749961851863155"/>
              </font>
              <fill>
                <patternFill>
                  <bgColor theme="6" tint="0.59996337778862885"/>
                </patternFill>
              </fill>
            </x14:dxf>
          </x14:cfRule>
          <x14:cfRule type="expression" priority="568" id="{DC431772-9734-41EE-95E0-B19132BC7624}">
            <xm:f>比例色代碼!G7=3</xm:f>
            <x14:dxf>
              <font>
                <color theme="2" tint="-0.749961851863155"/>
              </font>
              <fill>
                <patternFill>
                  <bgColor theme="6" tint="0.39994506668294322"/>
                </patternFill>
              </fill>
            </x14:dxf>
          </x14:cfRule>
          <x14:cfRule type="expression" priority="569" id="{755BDD4A-DCD7-4108-BA34-4CB72655BD99}">
            <xm:f>比例色代碼!G7=2</xm:f>
            <x14:dxf>
              <font>
                <color theme="0"/>
              </font>
              <fill>
                <patternFill>
                  <bgColor theme="6" tint="-0.24994659260841701"/>
                </patternFill>
              </fill>
            </x14:dxf>
          </x14:cfRule>
          <x14:cfRule type="expression" priority="570" id="{9889FE6A-8431-4DC3-92D4-3053FFF1EF01}">
            <xm:f>比例色代碼!G7=1</xm:f>
            <x14:dxf>
              <font>
                <color theme="0"/>
              </font>
              <fill>
                <patternFill>
                  <bgColor theme="6" tint="-0.499984740745262"/>
                </patternFill>
              </fill>
            </x14:dxf>
          </x14:cfRule>
          <xm:sqref>BA9 W11 AB11 AV11 BF11 AQ14 BA14 AB16 AG16 AV16 BF16 K19 AL19 AQ19 BA19 F21 P21 AB21 AG21 AV21 BF21 K24 AL24 AQ24 BA24 F26 AB26 AG26 AV26 BF26 BA29 U31 Z31 AE31 Z36 AZ36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0"/>
  <sheetViews>
    <sheetView workbookViewId="0">
      <selection activeCell="C3" sqref="C3"/>
    </sheetView>
  </sheetViews>
  <sheetFormatPr defaultRowHeight="16.5"/>
  <cols>
    <col min="1" max="1" width="2.625" customWidth="1"/>
    <col min="2" max="2" width="12.75" customWidth="1"/>
    <col min="3" max="7" width="20.75" customWidth="1"/>
  </cols>
  <sheetData>
    <row r="2" spans="2:7">
      <c r="B2" s="10"/>
      <c r="C2" s="10" t="s">
        <v>101</v>
      </c>
      <c r="D2" s="10" t="s">
        <v>102</v>
      </c>
      <c r="E2" s="10" t="s">
        <v>103</v>
      </c>
      <c r="F2" s="10" t="s">
        <v>104</v>
      </c>
      <c r="G2" s="10" t="s">
        <v>105</v>
      </c>
    </row>
    <row r="3" spans="2:7">
      <c r="B3" s="10" t="s">
        <v>73</v>
      </c>
      <c r="C3" s="11">
        <f>SUM(金城鎮!D2,金城鎮!D7,金城鎮!D12,金城鎮!D17,金城鎮!D22,金城鎮!D27,金城鎮!D32,金城鎮!D37)</f>
        <v>112</v>
      </c>
      <c r="D3" s="11">
        <f>SUM(金城鎮!D3,金城鎮!D8,金城鎮!D13,金城鎮!D18,金城鎮!D23,金城鎮!D28,金城鎮!D33,金城鎮!D38)</f>
        <v>3386</v>
      </c>
      <c r="E3" s="11">
        <f>SUM(金城鎮!D4,金城鎮!D9,金城鎮!D14,金城鎮!D19,金城鎮!D24,金城鎮!D29,金城鎮!D34,金城鎮!D39)</f>
        <v>123</v>
      </c>
      <c r="F3" s="11">
        <f>SUM(金城鎮!D5,金城鎮!D10,金城鎮!D15,金城鎮!D20,金城鎮!D25,金城鎮!D30,金城鎮!D35,金城鎮!D40)</f>
        <v>1710</v>
      </c>
      <c r="G3" s="11">
        <f>SUM(金城鎮!D6,金城鎮!D11,金城鎮!D16,金城鎮!D21,金城鎮!D26,金城鎮!D31,金城鎮!D36,金城鎮!D41)</f>
        <v>1348</v>
      </c>
    </row>
    <row r="4" spans="2:7">
      <c r="B4" s="10" t="s">
        <v>33</v>
      </c>
      <c r="C4" s="11">
        <f>SUM(金寧鄉!D2,金寧鄉!D7,金寧鄉!D12,金寧鄉!D17,金寧鄉!D22,金寧鄉!D27)</f>
        <v>54</v>
      </c>
      <c r="D4" s="11">
        <f>SUM(金寧鄉!D3,金寧鄉!D8,金寧鄉!D13,金寧鄉!D18,金寧鄉!D23,金寧鄉!D28)</f>
        <v>1822</v>
      </c>
      <c r="E4" s="11">
        <f>SUM(金寧鄉!D4,金寧鄉!D9,金寧鄉!D14,金寧鄉!D19,金寧鄉!D24,金寧鄉!D29)</f>
        <v>21</v>
      </c>
      <c r="F4" s="11">
        <f>SUM(金寧鄉!D5,金寧鄉!D10,金寧鄉!D15,金寧鄉!D20,金寧鄉!D25,金寧鄉!D30)</f>
        <v>966</v>
      </c>
      <c r="G4" s="11">
        <f>SUM(金寧鄉!D6,金寧鄉!D11,金寧鄉!D16,金寧鄉!D21,金寧鄉!D26,金寧鄉!D31)</f>
        <v>679</v>
      </c>
    </row>
    <row r="5" spans="2:7">
      <c r="B5" s="10" t="s">
        <v>34</v>
      </c>
      <c r="C5" s="11">
        <f>SUM(金沙鎮!D2,金沙鎮!D7,金沙鎮!D12,金沙鎮!D17,金沙鎮!D22,金沙鎮!D27,金沙鎮!D32,金沙鎮!D37)</f>
        <v>93</v>
      </c>
      <c r="D5" s="11">
        <f>SUM(金沙鎮!D3,金沙鎮!D8,金沙鎮!D13,金沙鎮!D18,金沙鎮!D23,金沙鎮!D28,金沙鎮!D33,金沙鎮!D38)</f>
        <v>1711</v>
      </c>
      <c r="E5" s="11">
        <f>SUM(金沙鎮!D4,金沙鎮!D9,金沙鎮!D14,金沙鎮!D19,金沙鎮!D24,金沙鎮!D29,金沙鎮!D34,金沙鎮!D39)</f>
        <v>60</v>
      </c>
      <c r="F5" s="11">
        <f>SUM(金沙鎮!D5,金沙鎮!D10,金沙鎮!D15,金沙鎮!D20,金沙鎮!D25,金沙鎮!D30,金沙鎮!D35,金沙鎮!D40)</f>
        <v>788</v>
      </c>
      <c r="G5" s="11">
        <f>SUM(金沙鎮!D6,金沙鎮!D11,金沙鎮!D16,金沙鎮!D21,金沙鎮!D26,金沙鎮!D31,金沙鎮!D36,金沙鎮!D41)</f>
        <v>842</v>
      </c>
    </row>
    <row r="6" spans="2:7">
      <c r="B6" s="10" t="s">
        <v>9</v>
      </c>
      <c r="C6" s="11">
        <f>SUM(金湖鎮!D2,金湖鎮!D7,金湖鎮!D12,金湖鎮!D17,金湖鎮!D22,金湖鎮!D27,金湖鎮!D32,金湖鎮!D37)</f>
        <v>132</v>
      </c>
      <c r="D6" s="11">
        <f>SUM(金湖鎮!D3,金湖鎮!D8,金湖鎮!D13,金湖鎮!D18,金湖鎮!D23,金湖鎮!D28,金湖鎮!D33,金湖鎮!D38)</f>
        <v>2353</v>
      </c>
      <c r="E6" s="11">
        <f>SUM(金湖鎮!D4,金湖鎮!D9,金湖鎮!D14,金湖鎮!D19,金湖鎮!D24,金湖鎮!D29,金湖鎮!D34,金湖鎮!D39)</f>
        <v>78</v>
      </c>
      <c r="F6" s="11">
        <f>SUM(金湖鎮!D5,金湖鎮!D10,金湖鎮!D15,金湖鎮!D20,金湖鎮!D25,金湖鎮!D30,金湖鎮!D35,金湖鎮!D40)</f>
        <v>925</v>
      </c>
      <c r="G6" s="11">
        <f>SUM(金湖鎮!D6,金湖鎮!D11,金湖鎮!D16,金湖鎮!D21,金湖鎮!D26,金湖鎮!D31,金湖鎮!D36,金湖鎮!D41)</f>
        <v>1121</v>
      </c>
    </row>
    <row r="7" spans="2:7">
      <c r="B7" s="10" t="s">
        <v>74</v>
      </c>
      <c r="C7" s="11">
        <f>SUM(烈嶼鄉!D2,烈嶼鄉!D7,烈嶼鄉!D12,烈嶼鄉!D17,烈嶼鄉!D22)</f>
        <v>27</v>
      </c>
      <c r="D7" s="11">
        <f>SUM(烈嶼鄉!D3,烈嶼鄉!D8,烈嶼鄉!D13,烈嶼鄉!D18,烈嶼鄉!D23)</f>
        <v>1016</v>
      </c>
      <c r="E7" s="11">
        <f>SUM(烈嶼鄉!D4,烈嶼鄉!D9,烈嶼鄉!D14,烈嶼鄉!D19,烈嶼鄉!D24)</f>
        <v>21</v>
      </c>
      <c r="F7" s="11">
        <f>SUM(烈嶼鄉!D5,烈嶼鄉!D10,烈嶼鄉!D15,烈嶼鄉!D20,烈嶼鄉!D25)</f>
        <v>277</v>
      </c>
      <c r="G7" s="11">
        <f>SUM(烈嶼鄉!D6,烈嶼鄉!D11,烈嶼鄉!D16,烈嶼鄉!D21,烈嶼鄉!D26)</f>
        <v>597</v>
      </c>
    </row>
    <row r="8" spans="2:7">
      <c r="B8" s="10" t="s">
        <v>36</v>
      </c>
      <c r="C8" s="11">
        <f>SUM(烏坵鄉!D2)</f>
        <v>0</v>
      </c>
      <c r="D8" s="11">
        <f>SUM(烏坵鄉!D3)</f>
        <v>1</v>
      </c>
      <c r="E8" s="11">
        <f>SUM(烏坵鄉!D4)</f>
        <v>0</v>
      </c>
      <c r="F8" s="11">
        <f>SUM(烏坵鄉!D5)</f>
        <v>3</v>
      </c>
      <c r="G8" s="11">
        <f>SUM(烏坵鄉!D6)</f>
        <v>9</v>
      </c>
    </row>
    <row r="9" spans="2:7">
      <c r="B9" s="10" t="s">
        <v>75</v>
      </c>
      <c r="C9" s="40">
        <f>SUM(C3:C8)</f>
        <v>418</v>
      </c>
      <c r="D9" s="40">
        <f>SUM(D3:D8)</f>
        <v>10289</v>
      </c>
      <c r="E9" s="40">
        <f t="shared" ref="E9:F9" si="0">SUM(E3:E8)</f>
        <v>303</v>
      </c>
      <c r="F9" s="40">
        <f t="shared" si="0"/>
        <v>4669</v>
      </c>
      <c r="G9" s="40">
        <f>SUM(G3:G8)</f>
        <v>4596</v>
      </c>
    </row>
    <row r="10" spans="2:7">
      <c r="B10" s="10" t="s">
        <v>106</v>
      </c>
      <c r="C10" s="12">
        <f>SUM(C3:C8)/SUM(C3:G8)</f>
        <v>2.0616522811344021E-2</v>
      </c>
      <c r="D10" s="12">
        <f>SUM(D3:D8)/SUM(C3:G8)</f>
        <v>0.50747225647348948</v>
      </c>
      <c r="E10" s="12">
        <f>SUM(E3:E8)/SUM(C3:G8)</f>
        <v>1.4944512946979039E-2</v>
      </c>
      <c r="F10" s="12">
        <f>SUM(F3:F8)/SUM(C3:G8)</f>
        <v>0.23028360049321825</v>
      </c>
      <c r="G10" s="12">
        <f>SUM(G3:G8)/SUM(C3:G8)</f>
        <v>0.22668310727496918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H37"/>
  <sheetViews>
    <sheetView workbookViewId="0"/>
  </sheetViews>
  <sheetFormatPr defaultRowHeight="16.5"/>
  <cols>
    <col min="1" max="1" width="2.25" customWidth="1"/>
    <col min="2" max="60" width="2.625" customWidth="1"/>
  </cols>
  <sheetData>
    <row r="1" spans="2:60" ht="16.350000000000001" customHeight="1"/>
    <row r="2" spans="2:60" ht="16.350000000000001" customHeight="1">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row>
    <row r="3" spans="2:60" ht="16.350000000000001" customHeight="1">
      <c r="B3" s="27"/>
      <c r="C3" s="3" t="s">
        <v>76</v>
      </c>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row>
    <row r="4" spans="2:60" ht="16.350000000000001" customHeight="1" thickBot="1">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row>
    <row r="5" spans="2:60" ht="16.350000000000001" customHeight="1" thickTop="1">
      <c r="B5" s="27"/>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172" t="str">
        <f>工作表1!AX5</f>
        <v>官嶼里</v>
      </c>
      <c r="AY5" s="173"/>
      <c r="AZ5" s="173"/>
      <c r="BA5" s="173"/>
      <c r="BB5" s="174"/>
      <c r="BC5" s="3"/>
      <c r="BD5" s="3"/>
      <c r="BE5" s="3"/>
      <c r="BF5" s="3"/>
      <c r="BG5" s="3"/>
      <c r="BH5" s="27"/>
    </row>
    <row r="6" spans="2:60" ht="16.350000000000001" customHeight="1" thickBot="1">
      <c r="B6" s="27"/>
      <c r="C6" s="3"/>
      <c r="D6" s="5"/>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175"/>
      <c r="AY6" s="176"/>
      <c r="AZ6" s="176"/>
      <c r="BA6" s="176"/>
      <c r="BB6" s="177"/>
      <c r="BC6" s="3"/>
      <c r="BD6" s="3"/>
      <c r="BE6" s="3"/>
      <c r="BF6" s="3"/>
      <c r="BG6" s="3"/>
      <c r="BH6" s="27"/>
    </row>
    <row r="7" spans="2:60" ht="16.350000000000001" customHeight="1" thickTop="1">
      <c r="B7" s="27"/>
      <c r="C7" s="178"/>
      <c r="D7" s="179"/>
      <c r="E7" s="179"/>
      <c r="F7" s="178"/>
      <c r="G7" s="179"/>
      <c r="H7" s="179"/>
      <c r="I7" s="178"/>
      <c r="J7" s="179"/>
      <c r="K7" s="179"/>
      <c r="L7" s="178"/>
      <c r="M7" s="179"/>
      <c r="N7" s="179"/>
      <c r="O7" s="178"/>
      <c r="P7" s="179"/>
      <c r="Q7" s="179"/>
      <c r="R7" s="3"/>
      <c r="S7" s="3"/>
      <c r="T7" s="182" t="str">
        <f>工作表1!T7</f>
        <v>古寧村</v>
      </c>
      <c r="U7" s="183"/>
      <c r="V7" s="183"/>
      <c r="W7" s="183"/>
      <c r="X7" s="184"/>
      <c r="Y7" s="186" t="str">
        <f>工作表1!Y7</f>
        <v>安美村</v>
      </c>
      <c r="Z7" s="187"/>
      <c r="AA7" s="187"/>
      <c r="AB7" s="187"/>
      <c r="AC7" s="188"/>
      <c r="AD7" s="3"/>
      <c r="AE7" s="3"/>
      <c r="AF7" s="3"/>
      <c r="AG7" s="3"/>
      <c r="AH7" s="3"/>
      <c r="AI7" s="3"/>
      <c r="AJ7" s="3"/>
      <c r="AK7" s="3"/>
      <c r="AL7" s="3"/>
      <c r="AM7" s="3"/>
      <c r="AN7" s="3"/>
      <c r="AO7" s="3"/>
      <c r="AP7" s="3"/>
      <c r="AQ7" s="3"/>
      <c r="AR7" s="3"/>
      <c r="AS7" s="182" t="str">
        <f>工作表1!AS7</f>
        <v>西園里</v>
      </c>
      <c r="AT7" s="183"/>
      <c r="AU7" s="183"/>
      <c r="AV7" s="183"/>
      <c r="AW7" s="184"/>
      <c r="AX7" s="191"/>
      <c r="AY7" s="181"/>
      <c r="AZ7" s="181"/>
      <c r="BA7" s="30"/>
      <c r="BB7" s="31">
        <f>工作表1!AK72</f>
        <v>0</v>
      </c>
      <c r="BC7" s="172" t="str">
        <f>工作表1!BC7</f>
        <v>三山里</v>
      </c>
      <c r="BD7" s="173"/>
      <c r="BE7" s="173"/>
      <c r="BF7" s="173"/>
      <c r="BG7" s="174"/>
      <c r="BH7" s="27"/>
    </row>
    <row r="8" spans="2:60" ht="16.350000000000001" customHeight="1">
      <c r="B8" s="27"/>
      <c r="C8" s="178"/>
      <c r="D8" s="179"/>
      <c r="E8" s="179"/>
      <c r="F8" s="178"/>
      <c r="G8" s="179"/>
      <c r="H8" s="179"/>
      <c r="I8" s="178"/>
      <c r="J8" s="179"/>
      <c r="K8" s="179"/>
      <c r="L8" s="178"/>
      <c r="M8" s="179"/>
      <c r="N8" s="179"/>
      <c r="O8" s="178"/>
      <c r="P8" s="179"/>
      <c r="Q8" s="179"/>
      <c r="R8" s="3"/>
      <c r="S8" s="3"/>
      <c r="T8" s="185"/>
      <c r="U8" s="66"/>
      <c r="V8" s="66"/>
      <c r="W8" s="66"/>
      <c r="X8" s="89"/>
      <c r="Y8" s="189"/>
      <c r="Z8" s="66"/>
      <c r="AA8" s="66"/>
      <c r="AB8" s="66"/>
      <c r="AC8" s="190"/>
      <c r="AD8" s="3"/>
      <c r="AE8" s="3"/>
      <c r="AF8" s="3"/>
      <c r="AG8" s="3"/>
      <c r="AH8" s="3"/>
      <c r="AI8" s="3"/>
      <c r="AJ8" s="3"/>
      <c r="AK8" s="3"/>
      <c r="AL8" s="3"/>
      <c r="AM8" s="3"/>
      <c r="AN8" s="3"/>
      <c r="AO8" s="3"/>
      <c r="AP8" s="3"/>
      <c r="AQ8" s="3"/>
      <c r="AR8" s="3"/>
      <c r="AS8" s="185"/>
      <c r="AT8" s="66"/>
      <c r="AU8" s="66"/>
      <c r="AV8" s="66"/>
      <c r="AW8" s="89"/>
      <c r="AX8" s="180"/>
      <c r="AY8" s="181"/>
      <c r="AZ8" s="181"/>
      <c r="BA8" s="30"/>
      <c r="BB8" s="31">
        <f>工作表1!AK73</f>
        <v>5</v>
      </c>
      <c r="BC8" s="175"/>
      <c r="BD8" s="176"/>
      <c r="BE8" s="176"/>
      <c r="BF8" s="176"/>
      <c r="BG8" s="177"/>
      <c r="BH8" s="27"/>
    </row>
    <row r="9" spans="2:60" ht="16.350000000000001" customHeight="1" thickBot="1">
      <c r="B9" s="27"/>
      <c r="C9" s="3"/>
      <c r="D9" s="3"/>
      <c r="E9" s="3"/>
      <c r="F9" s="3"/>
      <c r="G9" s="3"/>
      <c r="H9" s="3"/>
      <c r="I9" s="3"/>
      <c r="J9" s="3"/>
      <c r="K9" s="3"/>
      <c r="L9" s="3"/>
      <c r="M9" s="3"/>
      <c r="N9" s="3"/>
      <c r="O9" s="3"/>
      <c r="P9" s="3"/>
      <c r="Q9" s="3"/>
      <c r="R9" s="3"/>
      <c r="S9" s="3"/>
      <c r="T9" s="191"/>
      <c r="U9" s="181"/>
      <c r="V9" s="181"/>
      <c r="W9" s="30"/>
      <c r="X9" s="31">
        <f>工作表1!M42</f>
        <v>0</v>
      </c>
      <c r="Y9" s="195"/>
      <c r="Z9" s="181"/>
      <c r="AA9" s="181"/>
      <c r="AB9" s="30"/>
      <c r="AC9" s="32">
        <f>工作表1!M47</f>
        <v>0</v>
      </c>
      <c r="AD9" s="3"/>
      <c r="AE9" s="3"/>
      <c r="AF9" s="3"/>
      <c r="AG9" s="3"/>
      <c r="AH9" s="3"/>
      <c r="AI9" s="3"/>
      <c r="AJ9" s="3"/>
      <c r="AK9" s="3"/>
      <c r="AL9" s="3"/>
      <c r="AM9" s="3"/>
      <c r="AN9" s="3"/>
      <c r="AO9" s="3"/>
      <c r="AP9" s="3"/>
      <c r="AQ9" s="3"/>
      <c r="AR9" s="3"/>
      <c r="AS9" s="191"/>
      <c r="AT9" s="181"/>
      <c r="AU9" s="181"/>
      <c r="AV9" s="30"/>
      <c r="AW9" s="31">
        <f>工作表1!AK67</f>
        <v>0</v>
      </c>
      <c r="AX9" s="192"/>
      <c r="AY9" s="193"/>
      <c r="AZ9" s="193"/>
      <c r="BA9" s="30"/>
      <c r="BB9" s="31">
        <f>工作表1!AK74</f>
        <v>0</v>
      </c>
      <c r="BC9" s="191"/>
      <c r="BD9" s="181"/>
      <c r="BE9" s="181"/>
      <c r="BF9" s="30"/>
      <c r="BG9" s="31">
        <f>工作表1!AK47</f>
        <v>0</v>
      </c>
      <c r="BH9" s="27"/>
    </row>
    <row r="10" spans="2:60" ht="16.350000000000001" customHeight="1" thickTop="1">
      <c r="B10" s="27"/>
      <c r="C10" s="3"/>
      <c r="D10" s="5"/>
      <c r="E10" s="3"/>
      <c r="F10" s="3"/>
      <c r="G10" s="3"/>
      <c r="H10" s="3"/>
      <c r="I10" s="3"/>
      <c r="J10" s="3"/>
      <c r="K10" s="3"/>
      <c r="L10" s="3"/>
      <c r="M10" s="3"/>
      <c r="N10" s="3"/>
      <c r="O10" s="3"/>
      <c r="P10" s="3"/>
      <c r="Q10" s="3"/>
      <c r="R10" s="3"/>
      <c r="S10" s="3"/>
      <c r="T10" s="180"/>
      <c r="U10" s="181"/>
      <c r="V10" s="181"/>
      <c r="W10" s="30"/>
      <c r="X10" s="31">
        <f>工作表1!M43</f>
        <v>1</v>
      </c>
      <c r="Y10" s="194"/>
      <c r="Z10" s="181"/>
      <c r="AA10" s="181"/>
      <c r="AB10" s="30"/>
      <c r="AC10" s="32">
        <f>工作表1!M48</f>
        <v>4</v>
      </c>
      <c r="AD10" s="3"/>
      <c r="AE10" s="3"/>
      <c r="AF10" s="3"/>
      <c r="AG10" s="3"/>
      <c r="AH10" s="3"/>
      <c r="AI10" s="3"/>
      <c r="AJ10" s="3"/>
      <c r="AK10" s="3"/>
      <c r="AL10" s="3"/>
      <c r="AM10" s="3"/>
      <c r="AN10" s="182" t="str">
        <f>工作表1!AN10</f>
        <v>浦山里</v>
      </c>
      <c r="AO10" s="183"/>
      <c r="AP10" s="183"/>
      <c r="AQ10" s="183"/>
      <c r="AR10" s="184"/>
      <c r="AS10" s="180"/>
      <c r="AT10" s="181"/>
      <c r="AU10" s="181"/>
      <c r="AV10" s="30"/>
      <c r="AW10" s="31">
        <f>工作表1!AK68</f>
        <v>4</v>
      </c>
      <c r="AX10" s="172" t="str">
        <f>工作表1!AX10</f>
        <v>汶沙里</v>
      </c>
      <c r="AY10" s="173"/>
      <c r="AZ10" s="173"/>
      <c r="BA10" s="173"/>
      <c r="BB10" s="174"/>
      <c r="BC10" s="180"/>
      <c r="BD10" s="181"/>
      <c r="BE10" s="181"/>
      <c r="BF10" s="30"/>
      <c r="BG10" s="31">
        <f>工作表1!AK48</f>
        <v>2</v>
      </c>
      <c r="BH10" s="27"/>
    </row>
    <row r="11" spans="2:60" ht="16.350000000000001" customHeight="1" thickBot="1">
      <c r="B11" s="27"/>
      <c r="C11" s="178"/>
      <c r="D11" s="179"/>
      <c r="E11" s="179"/>
      <c r="F11" s="178"/>
      <c r="G11" s="179"/>
      <c r="H11" s="179"/>
      <c r="I11" s="178"/>
      <c r="J11" s="179"/>
      <c r="K11" s="179"/>
      <c r="L11" s="178"/>
      <c r="M11" s="179"/>
      <c r="N11" s="179"/>
      <c r="O11" s="178"/>
      <c r="P11" s="179"/>
      <c r="Q11" s="179"/>
      <c r="R11" s="3"/>
      <c r="S11" s="3"/>
      <c r="T11" s="192"/>
      <c r="U11" s="193"/>
      <c r="V11" s="193"/>
      <c r="W11" s="29"/>
      <c r="X11" s="31">
        <f>工作表1!M44</f>
        <v>0</v>
      </c>
      <c r="Y11" s="196"/>
      <c r="Z11" s="197"/>
      <c r="AA11" s="197"/>
      <c r="AB11" s="30"/>
      <c r="AC11" s="32">
        <f>工作表1!M49</f>
        <v>0</v>
      </c>
      <c r="AD11" s="3"/>
      <c r="AE11" s="3"/>
      <c r="AF11" s="3"/>
      <c r="AG11" s="3"/>
      <c r="AH11" s="3"/>
      <c r="AI11" s="3"/>
      <c r="AJ11" s="3"/>
      <c r="AK11" s="3"/>
      <c r="AL11" s="3"/>
      <c r="AM11" s="3"/>
      <c r="AN11" s="185"/>
      <c r="AO11" s="66"/>
      <c r="AP11" s="66"/>
      <c r="AQ11" s="66"/>
      <c r="AR11" s="89"/>
      <c r="AS11" s="192"/>
      <c r="AT11" s="193"/>
      <c r="AU11" s="193"/>
      <c r="AV11" s="30"/>
      <c r="AW11" s="31">
        <f>工作表1!AK69</f>
        <v>0</v>
      </c>
      <c r="AX11" s="175"/>
      <c r="AY11" s="176"/>
      <c r="AZ11" s="176"/>
      <c r="BA11" s="176"/>
      <c r="BB11" s="177"/>
      <c r="BC11" s="192"/>
      <c r="BD11" s="193"/>
      <c r="BE11" s="193"/>
      <c r="BF11" s="30"/>
      <c r="BG11" s="31">
        <f>工作表1!AK49</f>
        <v>0</v>
      </c>
      <c r="BH11" s="27"/>
    </row>
    <row r="12" spans="2:60" ht="16.350000000000001" customHeight="1" thickTop="1">
      <c r="B12" s="27"/>
      <c r="C12" s="178"/>
      <c r="D12" s="179"/>
      <c r="E12" s="179"/>
      <c r="F12" s="178"/>
      <c r="G12" s="179"/>
      <c r="H12" s="179"/>
      <c r="I12" s="178"/>
      <c r="J12" s="179"/>
      <c r="K12" s="179"/>
      <c r="L12" s="178"/>
      <c r="M12" s="179"/>
      <c r="N12" s="179"/>
      <c r="O12" s="178"/>
      <c r="P12" s="179"/>
      <c r="Q12" s="179"/>
      <c r="R12" s="3"/>
      <c r="S12" s="3"/>
      <c r="T12" s="3"/>
      <c r="U12" s="3"/>
      <c r="V12" s="3"/>
      <c r="W12" s="3"/>
      <c r="X12" s="3"/>
      <c r="Y12" s="186" t="str">
        <f>工作表1!Y12</f>
        <v>湖埔村</v>
      </c>
      <c r="Z12" s="187"/>
      <c r="AA12" s="187"/>
      <c r="AB12" s="187"/>
      <c r="AC12" s="188"/>
      <c r="AD12" s="186" t="str">
        <f>工作表1!AD12</f>
        <v>后盤村</v>
      </c>
      <c r="AE12" s="187"/>
      <c r="AF12" s="187"/>
      <c r="AG12" s="187"/>
      <c r="AH12" s="188"/>
      <c r="AI12" s="3"/>
      <c r="AJ12" s="3"/>
      <c r="AK12" s="3"/>
      <c r="AL12" s="3"/>
      <c r="AM12" s="3"/>
      <c r="AN12" s="191"/>
      <c r="AO12" s="181"/>
      <c r="AP12" s="181"/>
      <c r="AQ12" s="30"/>
      <c r="AR12" s="31">
        <f>工作表1!AK77</f>
        <v>0</v>
      </c>
      <c r="AS12" s="182" t="str">
        <f>工作表1!AS12</f>
        <v>何斗里</v>
      </c>
      <c r="AT12" s="183"/>
      <c r="AU12" s="183"/>
      <c r="AV12" s="183"/>
      <c r="AW12" s="184"/>
      <c r="AX12" s="191"/>
      <c r="AY12" s="181"/>
      <c r="AZ12" s="181"/>
      <c r="BA12" s="30"/>
      <c r="BB12" s="31">
        <f>工作表1!AK42</f>
        <v>0</v>
      </c>
      <c r="BC12" s="182" t="str">
        <f>工作表1!BC12</f>
        <v>大洋里</v>
      </c>
      <c r="BD12" s="183"/>
      <c r="BE12" s="183"/>
      <c r="BF12" s="183"/>
      <c r="BG12" s="184"/>
      <c r="BH12" s="27"/>
    </row>
    <row r="13" spans="2:60" ht="16.350000000000001" customHeight="1">
      <c r="B13" s="27"/>
      <c r="C13" s="3"/>
      <c r="D13" s="3"/>
      <c r="E13" s="3"/>
      <c r="F13" s="3"/>
      <c r="G13" s="3"/>
      <c r="H13" s="3"/>
      <c r="I13" s="3"/>
      <c r="J13" s="3"/>
      <c r="K13" s="3"/>
      <c r="L13" s="3"/>
      <c r="M13" s="3"/>
      <c r="N13" s="3"/>
      <c r="O13" s="3"/>
      <c r="P13" s="3"/>
      <c r="Q13" s="3"/>
      <c r="R13" s="3"/>
      <c r="S13" s="3"/>
      <c r="T13" s="3"/>
      <c r="U13" s="3"/>
      <c r="V13" s="3"/>
      <c r="W13" s="3"/>
      <c r="X13" s="3"/>
      <c r="Y13" s="189"/>
      <c r="Z13" s="66"/>
      <c r="AA13" s="66"/>
      <c r="AB13" s="66"/>
      <c r="AC13" s="190"/>
      <c r="AD13" s="189"/>
      <c r="AE13" s="66"/>
      <c r="AF13" s="66"/>
      <c r="AG13" s="66"/>
      <c r="AH13" s="190"/>
      <c r="AI13" s="3"/>
      <c r="AJ13" s="3"/>
      <c r="AK13" s="3"/>
      <c r="AL13" s="3"/>
      <c r="AM13" s="3"/>
      <c r="AN13" s="180"/>
      <c r="AO13" s="181"/>
      <c r="AP13" s="181"/>
      <c r="AQ13" s="30"/>
      <c r="AR13" s="31">
        <f>工作表1!AK78</f>
        <v>3</v>
      </c>
      <c r="AS13" s="185"/>
      <c r="AT13" s="66"/>
      <c r="AU13" s="66"/>
      <c r="AV13" s="66"/>
      <c r="AW13" s="89"/>
      <c r="AX13" s="180"/>
      <c r="AY13" s="181"/>
      <c r="AZ13" s="181"/>
      <c r="BA13" s="30"/>
      <c r="BB13" s="31">
        <f>工作表1!AK43</f>
        <v>3</v>
      </c>
      <c r="BC13" s="185"/>
      <c r="BD13" s="66"/>
      <c r="BE13" s="66"/>
      <c r="BF13" s="66"/>
      <c r="BG13" s="89"/>
      <c r="BH13" s="27"/>
    </row>
    <row r="14" spans="2:60" ht="16.350000000000001" customHeight="1" thickBot="1">
      <c r="B14" s="27"/>
      <c r="C14" s="3"/>
      <c r="D14" s="3"/>
      <c r="E14" s="3"/>
      <c r="F14" s="3"/>
      <c r="G14" s="3"/>
      <c r="H14" s="3"/>
      <c r="I14" s="3"/>
      <c r="J14" s="3"/>
      <c r="K14" s="3"/>
      <c r="L14" s="3"/>
      <c r="M14" s="3"/>
      <c r="N14" s="3"/>
      <c r="O14" s="3"/>
      <c r="P14" s="3"/>
      <c r="Q14" s="3"/>
      <c r="R14" s="3"/>
      <c r="S14" s="3"/>
      <c r="T14" s="3"/>
      <c r="U14" s="3"/>
      <c r="V14" s="3"/>
      <c r="W14" s="3"/>
      <c r="X14" s="3"/>
      <c r="Y14" s="195"/>
      <c r="Z14" s="181"/>
      <c r="AA14" s="181"/>
      <c r="AB14" s="30"/>
      <c r="AC14" s="32">
        <f>工作表1!M57</f>
        <v>0</v>
      </c>
      <c r="AD14" s="195"/>
      <c r="AE14" s="181"/>
      <c r="AF14" s="181"/>
      <c r="AG14" s="30"/>
      <c r="AH14" s="32">
        <f>工作表1!M52</f>
        <v>0</v>
      </c>
      <c r="AI14" s="3"/>
      <c r="AJ14" s="3"/>
      <c r="AK14" s="3"/>
      <c r="AL14" s="3"/>
      <c r="AM14" s="3"/>
      <c r="AN14" s="192"/>
      <c r="AO14" s="193"/>
      <c r="AP14" s="193"/>
      <c r="AQ14" s="30"/>
      <c r="AR14" s="31">
        <f>工作表1!AK79</f>
        <v>0</v>
      </c>
      <c r="AS14" s="191"/>
      <c r="AT14" s="181"/>
      <c r="AU14" s="181"/>
      <c r="AV14" s="30"/>
      <c r="AW14" s="31">
        <f>工作表1!AK62</f>
        <v>0</v>
      </c>
      <c r="AX14" s="180"/>
      <c r="AY14" s="181"/>
      <c r="AZ14" s="181"/>
      <c r="BA14" s="30"/>
      <c r="BB14" s="31">
        <f>工作表1!AK44</f>
        <v>0</v>
      </c>
      <c r="BC14" s="191"/>
      <c r="BD14" s="181"/>
      <c r="BE14" s="181"/>
      <c r="BF14" s="30"/>
      <c r="BG14" s="31">
        <f>工作表1!AK52</f>
        <v>0</v>
      </c>
      <c r="BH14" s="27"/>
    </row>
    <row r="15" spans="2:60" ht="16.350000000000001" customHeight="1" thickTop="1">
      <c r="B15" s="27"/>
      <c r="C15" s="3"/>
      <c r="D15" s="3"/>
      <c r="E15" s="3"/>
      <c r="F15" s="3"/>
      <c r="G15" s="3"/>
      <c r="H15" s="203" t="str">
        <f>工作表1!H15</f>
        <v>西口村</v>
      </c>
      <c r="I15" s="204"/>
      <c r="J15" s="204"/>
      <c r="K15" s="204"/>
      <c r="L15" s="205"/>
      <c r="M15" s="3"/>
      <c r="N15" s="3"/>
      <c r="O15" s="3"/>
      <c r="P15" s="3"/>
      <c r="Q15" s="3"/>
      <c r="R15" s="3"/>
      <c r="S15" s="3"/>
      <c r="T15" s="3"/>
      <c r="U15" s="3"/>
      <c r="V15" s="3"/>
      <c r="W15" s="3"/>
      <c r="X15" s="3"/>
      <c r="Y15" s="194"/>
      <c r="Z15" s="181"/>
      <c r="AA15" s="181"/>
      <c r="AB15" s="30"/>
      <c r="AC15" s="32">
        <f>工作表1!M58</f>
        <v>5</v>
      </c>
      <c r="AD15" s="194"/>
      <c r="AE15" s="181"/>
      <c r="AF15" s="181"/>
      <c r="AG15" s="30"/>
      <c r="AH15" s="32">
        <f>工作表1!M53</f>
        <v>2</v>
      </c>
      <c r="AI15" s="186" t="str">
        <f>工作表1!AI15</f>
        <v>盤山村</v>
      </c>
      <c r="AJ15" s="187"/>
      <c r="AK15" s="187"/>
      <c r="AL15" s="187"/>
      <c r="AM15" s="188"/>
      <c r="AN15" s="182" t="str">
        <f>工作表1!AN15</f>
        <v>瓊林里</v>
      </c>
      <c r="AO15" s="183"/>
      <c r="AP15" s="183"/>
      <c r="AQ15" s="183"/>
      <c r="AR15" s="184"/>
      <c r="AS15" s="180"/>
      <c r="AT15" s="181"/>
      <c r="AU15" s="181"/>
      <c r="AV15" s="30"/>
      <c r="AW15" s="30">
        <f>工作表1!AK63</f>
        <v>5</v>
      </c>
      <c r="AX15" s="198" t="str">
        <f>工作表1!AX15</f>
        <v>光前里</v>
      </c>
      <c r="AY15" s="199"/>
      <c r="AZ15" s="199"/>
      <c r="BA15" s="199"/>
      <c r="BB15" s="200"/>
      <c r="BC15" s="181"/>
      <c r="BD15" s="181"/>
      <c r="BE15" s="181"/>
      <c r="BF15" s="30"/>
      <c r="BG15" s="31">
        <f>工作表1!AK53</f>
        <v>3</v>
      </c>
      <c r="BH15" s="27"/>
    </row>
    <row r="16" spans="2:60" ht="16.350000000000001" customHeight="1" thickBot="1">
      <c r="B16" s="27"/>
      <c r="C16" s="3"/>
      <c r="D16" s="3"/>
      <c r="E16" s="3"/>
      <c r="F16" s="3"/>
      <c r="G16" s="3"/>
      <c r="H16" s="206"/>
      <c r="I16" s="176"/>
      <c r="J16" s="176"/>
      <c r="K16" s="176"/>
      <c r="L16" s="207"/>
      <c r="M16" s="3"/>
      <c r="N16" s="3"/>
      <c r="O16" s="3"/>
      <c r="P16" s="3"/>
      <c r="Q16" s="3"/>
      <c r="R16" s="3"/>
      <c r="S16" s="3"/>
      <c r="T16" s="3"/>
      <c r="U16" s="3"/>
      <c r="V16" s="3"/>
      <c r="W16" s="3"/>
      <c r="X16" s="3"/>
      <c r="Y16" s="196"/>
      <c r="Z16" s="197"/>
      <c r="AA16" s="197"/>
      <c r="AB16" s="30"/>
      <c r="AC16" s="32">
        <f>工作表1!M59</f>
        <v>0</v>
      </c>
      <c r="AD16" s="194"/>
      <c r="AE16" s="181"/>
      <c r="AF16" s="181"/>
      <c r="AG16" s="30"/>
      <c r="AH16" s="32">
        <f>工作表1!M54</f>
        <v>0</v>
      </c>
      <c r="AI16" s="189"/>
      <c r="AJ16" s="66"/>
      <c r="AK16" s="66"/>
      <c r="AL16" s="66"/>
      <c r="AM16" s="190"/>
      <c r="AN16" s="185"/>
      <c r="AO16" s="66"/>
      <c r="AP16" s="66"/>
      <c r="AQ16" s="66"/>
      <c r="AR16" s="89"/>
      <c r="AS16" s="192"/>
      <c r="AT16" s="193"/>
      <c r="AU16" s="193"/>
      <c r="AV16" s="30"/>
      <c r="AW16" s="30">
        <f>工作表1!AK64</f>
        <v>0</v>
      </c>
      <c r="AX16" s="201"/>
      <c r="AY16" s="66"/>
      <c r="AZ16" s="66"/>
      <c r="BA16" s="66"/>
      <c r="BB16" s="202"/>
      <c r="BC16" s="181"/>
      <c r="BD16" s="181"/>
      <c r="BE16" s="181"/>
      <c r="BF16" s="30"/>
      <c r="BG16" s="31">
        <f>工作表1!AK54</f>
        <v>0</v>
      </c>
      <c r="BH16" s="27"/>
    </row>
    <row r="17" spans="2:60" ht="16.350000000000001" customHeight="1" thickTop="1">
      <c r="B17" s="27"/>
      <c r="C17" s="203" t="str">
        <f>工作表1!C17</f>
        <v>上林村</v>
      </c>
      <c r="D17" s="204"/>
      <c r="E17" s="204"/>
      <c r="F17" s="204"/>
      <c r="G17" s="205"/>
      <c r="H17" s="195"/>
      <c r="I17" s="208"/>
      <c r="J17" s="208"/>
      <c r="K17" s="30"/>
      <c r="L17" s="34">
        <f>工作表1!BI52</f>
        <v>0</v>
      </c>
      <c r="M17" s="172" t="str">
        <f>工作表1!M17</f>
        <v>黃埔村</v>
      </c>
      <c r="N17" s="173"/>
      <c r="O17" s="173"/>
      <c r="P17" s="173"/>
      <c r="Q17" s="174"/>
      <c r="R17" s="3"/>
      <c r="S17" s="3"/>
      <c r="T17" s="3"/>
      <c r="U17" s="3"/>
      <c r="V17" s="3"/>
      <c r="W17" s="3"/>
      <c r="X17" s="3"/>
      <c r="Y17" s="186" t="str">
        <f>工作表1!Y17</f>
        <v>西門里</v>
      </c>
      <c r="Z17" s="187"/>
      <c r="AA17" s="187"/>
      <c r="AB17" s="187"/>
      <c r="AC17" s="187"/>
      <c r="AD17" s="212" t="str">
        <f>工作表1!AD17</f>
        <v>北門里</v>
      </c>
      <c r="AE17" s="213"/>
      <c r="AF17" s="213"/>
      <c r="AG17" s="213"/>
      <c r="AH17" s="214"/>
      <c r="AI17" s="210"/>
      <c r="AJ17" s="181"/>
      <c r="AK17" s="181"/>
      <c r="AL17" s="30"/>
      <c r="AM17" s="32">
        <f>工作表1!M67</f>
        <v>0</v>
      </c>
      <c r="AN17" s="191"/>
      <c r="AO17" s="181"/>
      <c r="AP17" s="181"/>
      <c r="AQ17" s="30"/>
      <c r="AR17" s="31">
        <f>工作表1!AW62</f>
        <v>0</v>
      </c>
      <c r="AS17" s="182" t="str">
        <f>工作表1!AS17</f>
        <v>山外里</v>
      </c>
      <c r="AT17" s="183"/>
      <c r="AU17" s="183"/>
      <c r="AV17" s="183"/>
      <c r="AW17" s="183"/>
      <c r="AX17" s="211"/>
      <c r="AY17" s="181"/>
      <c r="AZ17" s="181"/>
      <c r="BA17" s="30"/>
      <c r="BB17" s="36">
        <f>工作表1!AK57</f>
        <v>0</v>
      </c>
      <c r="BC17" s="183" t="str">
        <f>工作表1!BC17</f>
        <v>溪湖里</v>
      </c>
      <c r="BD17" s="183"/>
      <c r="BE17" s="183"/>
      <c r="BF17" s="183"/>
      <c r="BG17" s="184"/>
      <c r="BH17" s="27"/>
    </row>
    <row r="18" spans="2:60" ht="16.350000000000001" customHeight="1">
      <c r="B18" s="27"/>
      <c r="C18" s="206"/>
      <c r="D18" s="176"/>
      <c r="E18" s="176"/>
      <c r="F18" s="176"/>
      <c r="G18" s="207"/>
      <c r="H18" s="194"/>
      <c r="I18" s="208"/>
      <c r="J18" s="208"/>
      <c r="K18" s="30"/>
      <c r="L18" s="34">
        <f>工作表1!BI53</f>
        <v>5</v>
      </c>
      <c r="M18" s="175"/>
      <c r="N18" s="176"/>
      <c r="O18" s="176"/>
      <c r="P18" s="176"/>
      <c r="Q18" s="177"/>
      <c r="R18" s="3"/>
      <c r="S18" s="3"/>
      <c r="T18" s="3"/>
      <c r="U18" s="3"/>
      <c r="V18" s="3"/>
      <c r="W18" s="3"/>
      <c r="X18" s="3"/>
      <c r="Y18" s="189"/>
      <c r="Z18" s="66"/>
      <c r="AA18" s="66"/>
      <c r="AB18" s="66"/>
      <c r="AC18" s="66"/>
      <c r="AD18" s="215"/>
      <c r="AE18" s="176"/>
      <c r="AF18" s="176"/>
      <c r="AG18" s="176"/>
      <c r="AH18" s="216"/>
      <c r="AI18" s="181"/>
      <c r="AJ18" s="181"/>
      <c r="AK18" s="181"/>
      <c r="AL18" s="30"/>
      <c r="AM18" s="32">
        <f>工作表1!M68</f>
        <v>3</v>
      </c>
      <c r="AN18" s="180"/>
      <c r="AO18" s="181"/>
      <c r="AP18" s="181"/>
      <c r="AQ18" s="30"/>
      <c r="AR18" s="31">
        <f>工作表1!AW63</f>
        <v>4</v>
      </c>
      <c r="AS18" s="185"/>
      <c r="AT18" s="66"/>
      <c r="AU18" s="66"/>
      <c r="AV18" s="66"/>
      <c r="AW18" s="66"/>
      <c r="AX18" s="209"/>
      <c r="AY18" s="181"/>
      <c r="AZ18" s="181"/>
      <c r="BA18" s="30"/>
      <c r="BB18" s="36">
        <f>工作表1!AK58</f>
        <v>3</v>
      </c>
      <c r="BC18" s="66"/>
      <c r="BD18" s="66"/>
      <c r="BE18" s="66"/>
      <c r="BF18" s="66"/>
      <c r="BG18" s="89"/>
      <c r="BH18" s="27"/>
    </row>
    <row r="19" spans="2:60" ht="16.350000000000001" customHeight="1" thickBot="1">
      <c r="B19" s="27"/>
      <c r="C19" s="195"/>
      <c r="D19" s="208"/>
      <c r="E19" s="208"/>
      <c r="F19" s="30"/>
      <c r="G19" s="34">
        <f>工作表1!BI47</f>
        <v>0</v>
      </c>
      <c r="H19" s="194"/>
      <c r="I19" s="208"/>
      <c r="J19" s="208"/>
      <c r="K19" s="30"/>
      <c r="L19" s="35">
        <f>工作表1!BI54</f>
        <v>0</v>
      </c>
      <c r="M19" s="191"/>
      <c r="N19" s="208"/>
      <c r="O19" s="208"/>
      <c r="P19" s="30"/>
      <c r="Q19" s="34">
        <f>工作表1!BI62</f>
        <v>0</v>
      </c>
      <c r="R19" s="3"/>
      <c r="S19" s="3"/>
      <c r="T19" s="3"/>
      <c r="U19" s="3"/>
      <c r="V19" s="3"/>
      <c r="W19" s="3"/>
      <c r="X19" s="3"/>
      <c r="Y19" s="195"/>
      <c r="Z19" s="181"/>
      <c r="AA19" s="181"/>
      <c r="AB19" s="30"/>
      <c r="AC19" s="34">
        <f>工作表1!Y47</f>
        <v>0</v>
      </c>
      <c r="AD19" s="218"/>
      <c r="AE19" s="181"/>
      <c r="AF19" s="181"/>
      <c r="AG19" s="30"/>
      <c r="AH19" s="34">
        <f>工作表1!Y57</f>
        <v>0</v>
      </c>
      <c r="AI19" s="181"/>
      <c r="AJ19" s="181"/>
      <c r="AK19" s="181"/>
      <c r="AL19" s="30"/>
      <c r="AM19" s="32">
        <f>工作表1!M69</f>
        <v>0</v>
      </c>
      <c r="AN19" s="180"/>
      <c r="AO19" s="181"/>
      <c r="AP19" s="181"/>
      <c r="AQ19" s="30"/>
      <c r="AR19" s="31">
        <f>工作表1!AW64</f>
        <v>0</v>
      </c>
      <c r="AS19" s="191"/>
      <c r="AT19" s="181"/>
      <c r="AU19" s="181"/>
      <c r="AV19" s="30"/>
      <c r="AW19" s="30">
        <f>工作表1!AW47</f>
        <v>0</v>
      </c>
      <c r="AX19" s="219"/>
      <c r="AY19" s="220"/>
      <c r="AZ19" s="220"/>
      <c r="BA19" s="37"/>
      <c r="BB19" s="38">
        <f>工作表1!AK59</f>
        <v>0</v>
      </c>
      <c r="BC19" s="210"/>
      <c r="BD19" s="181"/>
      <c r="BE19" s="181"/>
      <c r="BF19" s="30"/>
      <c r="BG19" s="31">
        <f>工作表1!AW70</f>
        <v>0</v>
      </c>
      <c r="BH19" s="27"/>
    </row>
    <row r="20" spans="2:60" ht="16.350000000000001" customHeight="1" thickTop="1">
      <c r="B20" s="27"/>
      <c r="C20" s="194"/>
      <c r="D20" s="208"/>
      <c r="E20" s="208"/>
      <c r="F20" s="30"/>
      <c r="G20" s="34">
        <f>工作表1!BI48</f>
        <v>2</v>
      </c>
      <c r="H20" s="172" t="str">
        <f>工作表1!H20</f>
        <v>林湖村</v>
      </c>
      <c r="I20" s="173"/>
      <c r="J20" s="173"/>
      <c r="K20" s="173"/>
      <c r="L20" s="174"/>
      <c r="M20" s="180"/>
      <c r="N20" s="208"/>
      <c r="O20" s="208"/>
      <c r="P20" s="30"/>
      <c r="Q20" s="34">
        <f>工作表1!BI63</f>
        <v>4</v>
      </c>
      <c r="R20" s="3"/>
      <c r="S20" s="3"/>
      <c r="T20" s="3"/>
      <c r="U20" s="3"/>
      <c r="V20" s="3"/>
      <c r="W20" s="3"/>
      <c r="X20" s="3"/>
      <c r="Y20" s="194"/>
      <c r="Z20" s="181"/>
      <c r="AA20" s="181"/>
      <c r="AB20" s="30"/>
      <c r="AC20" s="34">
        <f>工作表1!Y48</f>
        <v>3</v>
      </c>
      <c r="AD20" s="217"/>
      <c r="AE20" s="181"/>
      <c r="AF20" s="181"/>
      <c r="AG20" s="30"/>
      <c r="AH20" s="34">
        <f>工作表1!Y58</f>
        <v>3</v>
      </c>
      <c r="AI20" s="183" t="str">
        <f>工作表1!AI20</f>
        <v>榜林村</v>
      </c>
      <c r="AJ20" s="183"/>
      <c r="AK20" s="183"/>
      <c r="AL20" s="183"/>
      <c r="AM20" s="184"/>
      <c r="AN20" s="182" t="str">
        <f>工作表1!AN20</f>
        <v>正義里</v>
      </c>
      <c r="AO20" s="183"/>
      <c r="AP20" s="183"/>
      <c r="AQ20" s="183"/>
      <c r="AR20" s="184"/>
      <c r="AS20" s="180"/>
      <c r="AT20" s="181"/>
      <c r="AU20" s="181"/>
      <c r="AV20" s="30"/>
      <c r="AW20" s="30">
        <f>工作表1!AW48</f>
        <v>3</v>
      </c>
      <c r="AX20" s="66" t="str">
        <f>工作表1!AX20</f>
        <v>新市里</v>
      </c>
      <c r="AY20" s="66"/>
      <c r="AZ20" s="66"/>
      <c r="BA20" s="66"/>
      <c r="BB20" s="66"/>
      <c r="BC20" s="180"/>
      <c r="BD20" s="181"/>
      <c r="BE20" s="181"/>
      <c r="BF20" s="30"/>
      <c r="BG20" s="31">
        <f>工作表1!AW71</f>
        <v>4</v>
      </c>
      <c r="BH20" s="27"/>
    </row>
    <row r="21" spans="2:60" ht="16.350000000000001" customHeight="1" thickBot="1">
      <c r="B21" s="27"/>
      <c r="C21" s="194"/>
      <c r="D21" s="208"/>
      <c r="E21" s="208"/>
      <c r="F21" s="30"/>
      <c r="G21" s="35">
        <f>工作表1!BI49</f>
        <v>0</v>
      </c>
      <c r="H21" s="175"/>
      <c r="I21" s="176"/>
      <c r="J21" s="176"/>
      <c r="K21" s="176"/>
      <c r="L21" s="177"/>
      <c r="M21" s="192"/>
      <c r="N21" s="221"/>
      <c r="O21" s="221"/>
      <c r="P21" s="29"/>
      <c r="Q21" s="35">
        <f>工作表1!BI64</f>
        <v>0</v>
      </c>
      <c r="R21" s="3"/>
      <c r="S21" s="3"/>
      <c r="T21" s="3"/>
      <c r="U21" s="3"/>
      <c r="V21" s="3"/>
      <c r="W21" s="3"/>
      <c r="X21" s="3"/>
      <c r="Y21" s="196"/>
      <c r="Z21" s="197"/>
      <c r="AA21" s="197"/>
      <c r="AB21" s="30"/>
      <c r="AC21" s="35">
        <f>工作表1!Y49</f>
        <v>0</v>
      </c>
      <c r="AD21" s="222"/>
      <c r="AE21" s="223"/>
      <c r="AF21" s="223"/>
      <c r="AG21" s="33"/>
      <c r="AH21" s="35">
        <f>工作表1!Y59</f>
        <v>0</v>
      </c>
      <c r="AI21" s="66"/>
      <c r="AJ21" s="66"/>
      <c r="AK21" s="66"/>
      <c r="AL21" s="66"/>
      <c r="AM21" s="89"/>
      <c r="AN21" s="185"/>
      <c r="AO21" s="66"/>
      <c r="AP21" s="66"/>
      <c r="AQ21" s="66"/>
      <c r="AR21" s="89"/>
      <c r="AS21" s="180"/>
      <c r="AT21" s="181"/>
      <c r="AU21" s="181"/>
      <c r="AV21" s="30"/>
      <c r="AW21" s="30">
        <f>工作表1!AW49</f>
        <v>0</v>
      </c>
      <c r="AX21" s="66"/>
      <c r="AY21" s="66"/>
      <c r="AZ21" s="66"/>
      <c r="BA21" s="66"/>
      <c r="BB21" s="66"/>
      <c r="BC21" s="192"/>
      <c r="BD21" s="193"/>
      <c r="BE21" s="193"/>
      <c r="BF21" s="29"/>
      <c r="BG21" s="31">
        <f>工作表1!AW72</f>
        <v>0</v>
      </c>
      <c r="BH21" s="27"/>
    </row>
    <row r="22" spans="2:60" ht="16.350000000000001" customHeight="1" thickTop="1">
      <c r="B22" s="27"/>
      <c r="C22" s="172" t="str">
        <f>工作表1!C22</f>
        <v>上岐村</v>
      </c>
      <c r="D22" s="173"/>
      <c r="E22" s="173"/>
      <c r="F22" s="173"/>
      <c r="G22" s="174"/>
      <c r="H22" s="191"/>
      <c r="I22" s="208"/>
      <c r="J22" s="208"/>
      <c r="K22" s="30"/>
      <c r="L22" s="34">
        <f>工作表1!BI57</f>
        <v>0</v>
      </c>
      <c r="M22" s="3"/>
      <c r="N22" s="3"/>
      <c r="O22" s="3"/>
      <c r="P22" s="3"/>
      <c r="Q22" s="3"/>
      <c r="R22" s="3"/>
      <c r="S22" s="3"/>
      <c r="T22" s="3"/>
      <c r="U22" s="3"/>
      <c r="V22" s="3"/>
      <c r="W22" s="3"/>
      <c r="X22" s="3"/>
      <c r="Y22" s="186" t="str">
        <f>工作表1!Y22</f>
        <v>南門里</v>
      </c>
      <c r="Z22" s="187"/>
      <c r="AA22" s="187"/>
      <c r="AB22" s="187"/>
      <c r="AC22" s="187"/>
      <c r="AD22" s="185" t="str">
        <f>工作表1!AD22</f>
        <v>東門里</v>
      </c>
      <c r="AE22" s="66"/>
      <c r="AF22" s="66"/>
      <c r="AG22" s="66"/>
      <c r="AH22" s="89"/>
      <c r="AI22" s="191"/>
      <c r="AJ22" s="181"/>
      <c r="AK22" s="181"/>
      <c r="AL22" s="30"/>
      <c r="AM22" s="31">
        <f>工作表1!M62</f>
        <v>0</v>
      </c>
      <c r="AN22" s="191"/>
      <c r="AO22" s="181"/>
      <c r="AP22" s="181"/>
      <c r="AQ22" s="30"/>
      <c r="AR22" s="31">
        <f>工作表1!AW52</f>
        <v>0</v>
      </c>
      <c r="AS22" s="182" t="str">
        <f>工作表1!AS22</f>
        <v>新湖里</v>
      </c>
      <c r="AT22" s="183"/>
      <c r="AU22" s="183"/>
      <c r="AV22" s="183"/>
      <c r="AW22" s="184"/>
      <c r="AX22" s="210"/>
      <c r="AY22" s="181"/>
      <c r="AZ22" s="181"/>
      <c r="BA22" s="30"/>
      <c r="BB22" s="30">
        <f>工作表1!AW42</f>
        <v>0</v>
      </c>
      <c r="BC22" s="182" t="str">
        <f>工作表1!BC22</f>
        <v>蓮庵里</v>
      </c>
      <c r="BD22" s="183"/>
      <c r="BE22" s="183"/>
      <c r="BF22" s="183"/>
      <c r="BG22" s="184"/>
      <c r="BH22" s="27"/>
    </row>
    <row r="23" spans="2:60" ht="16.350000000000001" customHeight="1">
      <c r="B23" s="27"/>
      <c r="C23" s="175"/>
      <c r="D23" s="176"/>
      <c r="E23" s="176"/>
      <c r="F23" s="176"/>
      <c r="G23" s="177"/>
      <c r="H23" s="180"/>
      <c r="I23" s="208"/>
      <c r="J23" s="208"/>
      <c r="K23" s="30"/>
      <c r="L23" s="34">
        <f>工作表1!BI58</f>
        <v>3</v>
      </c>
      <c r="M23" s="3"/>
      <c r="N23" s="3"/>
      <c r="O23" s="3"/>
      <c r="P23" s="3"/>
      <c r="Q23" s="3"/>
      <c r="R23" s="3"/>
      <c r="S23" s="3"/>
      <c r="T23" s="3"/>
      <c r="U23" s="3"/>
      <c r="V23" s="3"/>
      <c r="W23" s="3"/>
      <c r="X23" s="3"/>
      <c r="Y23" s="189"/>
      <c r="Z23" s="66"/>
      <c r="AA23" s="66"/>
      <c r="AB23" s="66"/>
      <c r="AC23" s="66"/>
      <c r="AD23" s="185"/>
      <c r="AE23" s="66"/>
      <c r="AF23" s="66"/>
      <c r="AG23" s="66"/>
      <c r="AH23" s="89"/>
      <c r="AI23" s="180"/>
      <c r="AJ23" s="181"/>
      <c r="AK23" s="181"/>
      <c r="AL23" s="30"/>
      <c r="AM23" s="31">
        <f>工作表1!M63</f>
        <v>3</v>
      </c>
      <c r="AN23" s="180"/>
      <c r="AO23" s="181"/>
      <c r="AP23" s="181"/>
      <c r="AQ23" s="30"/>
      <c r="AR23" s="31">
        <f>工作表1!AW53</f>
        <v>4</v>
      </c>
      <c r="AS23" s="185"/>
      <c r="AT23" s="66"/>
      <c r="AU23" s="66"/>
      <c r="AV23" s="66"/>
      <c r="AW23" s="89"/>
      <c r="AX23" s="181"/>
      <c r="AY23" s="181"/>
      <c r="AZ23" s="181"/>
      <c r="BA23" s="30"/>
      <c r="BB23" s="30">
        <f>工作表1!AW43</f>
        <v>3</v>
      </c>
      <c r="BC23" s="185"/>
      <c r="BD23" s="66"/>
      <c r="BE23" s="66"/>
      <c r="BF23" s="66"/>
      <c r="BG23" s="89"/>
      <c r="BH23" s="27"/>
    </row>
    <row r="24" spans="2:60" ht="16.350000000000001" customHeight="1" thickBot="1">
      <c r="B24" s="27"/>
      <c r="C24" s="191"/>
      <c r="D24" s="208"/>
      <c r="E24" s="208"/>
      <c r="F24" s="30"/>
      <c r="G24" s="34">
        <f>工作表1!BI42</f>
        <v>0</v>
      </c>
      <c r="H24" s="192"/>
      <c r="I24" s="221"/>
      <c r="J24" s="221"/>
      <c r="K24" s="29"/>
      <c r="L24" s="35">
        <f>工作表1!BI59</f>
        <v>0</v>
      </c>
      <c r="M24" s="3"/>
      <c r="N24" s="3"/>
      <c r="O24" s="3"/>
      <c r="P24" s="3"/>
      <c r="Q24" s="3"/>
      <c r="R24" s="3"/>
      <c r="S24" s="3"/>
      <c r="T24" s="3"/>
      <c r="U24" s="3"/>
      <c r="V24" s="3"/>
      <c r="W24" s="3"/>
      <c r="X24" s="3"/>
      <c r="Y24" s="195"/>
      <c r="Z24" s="181"/>
      <c r="AA24" s="181"/>
      <c r="AB24" s="30"/>
      <c r="AC24" s="34">
        <f>工作表1!Y52</f>
        <v>0</v>
      </c>
      <c r="AD24" s="191"/>
      <c r="AE24" s="181"/>
      <c r="AF24" s="181"/>
      <c r="AG24" s="30"/>
      <c r="AH24" s="34">
        <f>工作表1!Y42</f>
        <v>0</v>
      </c>
      <c r="AI24" s="192"/>
      <c r="AJ24" s="193"/>
      <c r="AK24" s="193"/>
      <c r="AL24" s="29"/>
      <c r="AM24" s="31">
        <f>工作表1!M64</f>
        <v>0</v>
      </c>
      <c r="AN24" s="192"/>
      <c r="AO24" s="193"/>
      <c r="AP24" s="193"/>
      <c r="AQ24" s="29"/>
      <c r="AR24" s="31">
        <f>工作表1!AW54</f>
        <v>0</v>
      </c>
      <c r="AS24" s="191"/>
      <c r="AT24" s="181"/>
      <c r="AU24" s="181"/>
      <c r="AV24" s="30"/>
      <c r="AW24" s="31">
        <f>工作表1!AW67</f>
        <v>0</v>
      </c>
      <c r="AX24" s="181"/>
      <c r="AY24" s="181"/>
      <c r="AZ24" s="181"/>
      <c r="BA24" s="30"/>
      <c r="BB24" s="30">
        <f>工作表1!AW44</f>
        <v>0</v>
      </c>
      <c r="BC24" s="191"/>
      <c r="BD24" s="181"/>
      <c r="BE24" s="181"/>
      <c r="BF24" s="30"/>
      <c r="BG24" s="31">
        <f>工作表1!AW73</f>
        <v>0</v>
      </c>
      <c r="BH24" s="27"/>
    </row>
    <row r="25" spans="2:60" ht="16.350000000000001" customHeight="1" thickTop="1">
      <c r="B25" s="27"/>
      <c r="C25" s="180"/>
      <c r="D25" s="208"/>
      <c r="E25" s="208"/>
      <c r="F25" s="30"/>
      <c r="G25" s="34">
        <f>工作表1!BI43</f>
        <v>3</v>
      </c>
      <c r="H25" s="3"/>
      <c r="I25" s="3"/>
      <c r="J25" s="3"/>
      <c r="K25" s="3"/>
      <c r="L25" s="3"/>
      <c r="M25" s="3"/>
      <c r="N25" s="3"/>
      <c r="O25" s="3"/>
      <c r="P25" s="3"/>
      <c r="Q25" s="3"/>
      <c r="R25" s="3"/>
      <c r="S25" s="3"/>
      <c r="T25" s="3"/>
      <c r="U25" s="3"/>
      <c r="V25" s="3"/>
      <c r="W25" s="3"/>
      <c r="X25" s="3"/>
      <c r="Y25" s="194"/>
      <c r="Z25" s="181"/>
      <c r="AA25" s="181"/>
      <c r="AB25" s="30"/>
      <c r="AC25" s="34">
        <f>工作表1!Y53</f>
        <v>3</v>
      </c>
      <c r="AD25" s="180"/>
      <c r="AE25" s="181"/>
      <c r="AF25" s="181"/>
      <c r="AG25" s="30"/>
      <c r="AH25" s="34">
        <f>工作表1!Y43</f>
        <v>4</v>
      </c>
      <c r="AI25" s="3"/>
      <c r="AJ25" s="3"/>
      <c r="AK25" s="3"/>
      <c r="AL25" s="3"/>
      <c r="AM25" s="3"/>
      <c r="AN25" s="3"/>
      <c r="AO25" s="3"/>
      <c r="AP25" s="3"/>
      <c r="AQ25" s="3"/>
      <c r="AR25" s="3"/>
      <c r="AS25" s="180"/>
      <c r="AT25" s="181"/>
      <c r="AU25" s="181"/>
      <c r="AV25" s="30"/>
      <c r="AW25" s="31">
        <f>工作表1!AW68</f>
        <v>4</v>
      </c>
      <c r="AX25" s="182" t="str">
        <f>工作表1!AX25</f>
        <v>料羅里</v>
      </c>
      <c r="AY25" s="183"/>
      <c r="AZ25" s="183"/>
      <c r="BA25" s="183"/>
      <c r="BB25" s="184"/>
      <c r="BC25" s="180"/>
      <c r="BD25" s="181"/>
      <c r="BE25" s="181"/>
      <c r="BF25" s="30"/>
      <c r="BG25" s="31">
        <f>工作表1!AW74</f>
        <v>5</v>
      </c>
      <c r="BH25" s="27"/>
    </row>
    <row r="26" spans="2:60" ht="16.350000000000001" customHeight="1" thickBot="1">
      <c r="B26" s="27"/>
      <c r="C26" s="192"/>
      <c r="D26" s="221"/>
      <c r="E26" s="221"/>
      <c r="F26" s="29"/>
      <c r="G26" s="35">
        <f>工作表1!BI44</f>
        <v>0</v>
      </c>
      <c r="H26" s="3"/>
      <c r="I26" s="3"/>
      <c r="J26" s="3"/>
      <c r="K26" s="3"/>
      <c r="L26" s="3"/>
      <c r="M26" s="3"/>
      <c r="N26" s="3"/>
      <c r="O26" s="3"/>
      <c r="P26" s="3"/>
      <c r="Q26" s="3"/>
      <c r="R26" s="3"/>
      <c r="S26" s="3"/>
      <c r="T26" s="3"/>
      <c r="U26" s="3"/>
      <c r="V26" s="3"/>
      <c r="W26" s="3"/>
      <c r="X26" s="3"/>
      <c r="Y26" s="196"/>
      <c r="Z26" s="197"/>
      <c r="AA26" s="197"/>
      <c r="AB26" s="30"/>
      <c r="AC26" s="35">
        <f>工作表1!Y54</f>
        <v>0</v>
      </c>
      <c r="AD26" s="192"/>
      <c r="AE26" s="193"/>
      <c r="AF26" s="193"/>
      <c r="AG26" s="29"/>
      <c r="AH26" s="35">
        <f>工作表1!Y44</f>
        <v>0</v>
      </c>
      <c r="AI26" s="3"/>
      <c r="AJ26" s="3"/>
      <c r="AK26" s="3"/>
      <c r="AL26" s="3"/>
      <c r="AM26" s="3"/>
      <c r="AN26" s="3"/>
      <c r="AO26" s="3"/>
      <c r="AP26" s="3"/>
      <c r="AQ26" s="3"/>
      <c r="AR26" s="3"/>
      <c r="AS26" s="192"/>
      <c r="AT26" s="193"/>
      <c r="AU26" s="193"/>
      <c r="AV26" s="29"/>
      <c r="AW26" s="31">
        <f>工作表1!AW69</f>
        <v>0</v>
      </c>
      <c r="AX26" s="185"/>
      <c r="AY26" s="66"/>
      <c r="AZ26" s="66"/>
      <c r="BA26" s="66"/>
      <c r="BB26" s="89"/>
      <c r="BC26" s="192"/>
      <c r="BD26" s="193"/>
      <c r="BE26" s="193"/>
      <c r="BF26" s="29"/>
      <c r="BG26" s="31">
        <f>工作表1!AW75</f>
        <v>0</v>
      </c>
      <c r="BH26" s="27"/>
    </row>
    <row r="27" spans="2:60" ht="16.350000000000001" customHeight="1" thickTop="1">
      <c r="B27" s="27"/>
      <c r="C27" s="3"/>
      <c r="D27" s="3"/>
      <c r="E27" s="3"/>
      <c r="F27" s="3"/>
      <c r="G27" s="3"/>
      <c r="H27" s="3"/>
      <c r="I27" s="3"/>
      <c r="J27" s="3"/>
      <c r="K27" s="3"/>
      <c r="L27" s="3"/>
      <c r="M27" s="3"/>
      <c r="N27" s="3"/>
      <c r="O27" s="3"/>
      <c r="P27" s="3"/>
      <c r="Q27" s="3"/>
      <c r="R27" s="182" t="str">
        <f>工作表1!R27</f>
        <v>金水里</v>
      </c>
      <c r="S27" s="183"/>
      <c r="T27" s="183"/>
      <c r="U27" s="183"/>
      <c r="V27" s="184"/>
      <c r="W27" s="186" t="str">
        <f>工作表1!W27</f>
        <v>賢庵里</v>
      </c>
      <c r="X27" s="187"/>
      <c r="Y27" s="187"/>
      <c r="Z27" s="187"/>
      <c r="AA27" s="187"/>
      <c r="AB27" s="182" t="str">
        <f>工作表1!AB27</f>
        <v>珠沙里</v>
      </c>
      <c r="AC27" s="183"/>
      <c r="AD27" s="183"/>
      <c r="AE27" s="183"/>
      <c r="AF27" s="184"/>
      <c r="AG27" s="3"/>
      <c r="AH27" s="3"/>
      <c r="AI27" s="3"/>
      <c r="AJ27" s="3"/>
      <c r="AK27" s="3"/>
      <c r="AL27" s="3"/>
      <c r="AM27" s="3"/>
      <c r="AN27" s="3"/>
      <c r="AO27" s="3"/>
      <c r="AP27" s="3"/>
      <c r="AQ27" s="3"/>
      <c r="AR27" s="3"/>
      <c r="AS27" s="3"/>
      <c r="AT27" s="3"/>
      <c r="AU27" s="3"/>
      <c r="AV27" s="3"/>
      <c r="AW27" s="3"/>
      <c r="AX27" s="191"/>
      <c r="AY27" s="181"/>
      <c r="AZ27" s="181"/>
      <c r="BA27" s="30"/>
      <c r="BB27" s="31">
        <f>工作表1!AW57</f>
        <v>0</v>
      </c>
      <c r="BC27" s="3"/>
      <c r="BD27" s="3"/>
      <c r="BE27" s="3"/>
      <c r="BF27" s="3"/>
      <c r="BG27" s="3"/>
      <c r="BH27" s="27"/>
    </row>
    <row r="28" spans="2:60" ht="16.350000000000001" customHeight="1">
      <c r="B28" s="27"/>
      <c r="C28" s="3"/>
      <c r="D28" s="3"/>
      <c r="E28" s="3"/>
      <c r="F28" s="3"/>
      <c r="G28" s="3"/>
      <c r="H28" s="3"/>
      <c r="I28" s="3"/>
      <c r="J28" s="3"/>
      <c r="K28" s="3"/>
      <c r="L28" s="3"/>
      <c r="M28" s="3"/>
      <c r="N28" s="3"/>
      <c r="O28" s="3"/>
      <c r="P28" s="3"/>
      <c r="Q28" s="3"/>
      <c r="R28" s="185"/>
      <c r="S28" s="66"/>
      <c r="T28" s="66"/>
      <c r="U28" s="66"/>
      <c r="V28" s="89"/>
      <c r="W28" s="189"/>
      <c r="X28" s="66"/>
      <c r="Y28" s="66"/>
      <c r="Z28" s="66"/>
      <c r="AA28" s="66"/>
      <c r="AB28" s="185"/>
      <c r="AC28" s="66"/>
      <c r="AD28" s="66"/>
      <c r="AE28" s="66"/>
      <c r="AF28" s="89"/>
      <c r="AG28" s="3"/>
      <c r="AH28" s="3"/>
      <c r="AI28" s="3"/>
      <c r="AJ28" s="3"/>
      <c r="AK28" s="3"/>
      <c r="AL28" s="3"/>
      <c r="AM28" s="3"/>
      <c r="AN28" s="3"/>
      <c r="AO28" s="3"/>
      <c r="AP28" s="3"/>
      <c r="AQ28" s="3"/>
      <c r="AR28" s="3"/>
      <c r="AS28" s="3"/>
      <c r="AT28" s="3"/>
      <c r="AU28" s="3"/>
      <c r="AV28" s="3"/>
      <c r="AW28" s="3"/>
      <c r="AX28" s="180"/>
      <c r="AY28" s="181"/>
      <c r="AZ28" s="181"/>
      <c r="BA28" s="30"/>
      <c r="BB28" s="31">
        <f>工作表1!AW58</f>
        <v>2</v>
      </c>
      <c r="BC28" s="3"/>
      <c r="BD28" s="3"/>
      <c r="BE28" s="3"/>
      <c r="BF28" s="3"/>
      <c r="BG28" s="3"/>
      <c r="BH28" s="27"/>
    </row>
    <row r="29" spans="2:60" ht="16.350000000000001" customHeight="1" thickBot="1">
      <c r="B29" s="27"/>
      <c r="C29" s="20"/>
      <c r="D29" s="21"/>
      <c r="E29" s="22"/>
      <c r="F29" s="22"/>
      <c r="G29" s="22"/>
      <c r="H29" s="23"/>
      <c r="I29" s="22"/>
      <c r="J29" s="22"/>
      <c r="K29" s="24"/>
      <c r="L29" s="22"/>
      <c r="M29" s="22"/>
      <c r="N29" s="3"/>
      <c r="O29" s="3"/>
      <c r="P29" s="3"/>
      <c r="Q29" s="3"/>
      <c r="R29" s="191"/>
      <c r="S29" s="208"/>
      <c r="T29" s="208"/>
      <c r="U29" s="30"/>
      <c r="V29" s="34">
        <f>工作表1!Y67</f>
        <v>0</v>
      </c>
      <c r="W29" s="195"/>
      <c r="X29" s="208"/>
      <c r="Y29" s="208"/>
      <c r="Z29" s="30"/>
      <c r="AA29" s="34">
        <f>工作表1!Y77</f>
        <v>0</v>
      </c>
      <c r="AB29" s="191"/>
      <c r="AC29" s="208"/>
      <c r="AD29" s="208"/>
      <c r="AE29" s="30"/>
      <c r="AF29" s="34">
        <f>工作表1!Y72</f>
        <v>0</v>
      </c>
      <c r="AG29" s="3"/>
      <c r="AH29" s="3"/>
      <c r="AI29" s="20"/>
      <c r="AJ29" s="21"/>
      <c r="AK29" s="22"/>
      <c r="AL29" s="22"/>
      <c r="AM29" s="22"/>
      <c r="AN29" s="23"/>
      <c r="AO29" s="22"/>
      <c r="AP29" s="22"/>
      <c r="AQ29" s="24"/>
      <c r="AR29" s="22"/>
      <c r="AS29" s="22"/>
      <c r="AT29" s="3"/>
      <c r="AU29" s="3"/>
      <c r="AV29" s="3"/>
      <c r="AW29" s="3"/>
      <c r="AX29" s="192"/>
      <c r="AY29" s="193"/>
      <c r="AZ29" s="193"/>
      <c r="BA29" s="29"/>
      <c r="BB29" s="31">
        <f>工作表1!AW59</f>
        <v>0</v>
      </c>
      <c r="BC29" s="3"/>
      <c r="BD29" s="3"/>
      <c r="BE29" s="3"/>
      <c r="BF29" s="3"/>
      <c r="BG29" s="3"/>
      <c r="BH29" s="27"/>
    </row>
    <row r="30" spans="2:60" ht="16.350000000000001" customHeight="1" thickTop="1">
      <c r="B30" s="27"/>
      <c r="C30" s="25"/>
      <c r="D30" s="21"/>
      <c r="E30" s="22"/>
      <c r="F30" s="22"/>
      <c r="G30" s="22"/>
      <c r="H30" s="23"/>
      <c r="I30" s="22"/>
      <c r="J30" s="22"/>
      <c r="K30" s="24"/>
      <c r="L30" s="22"/>
      <c r="M30" s="22"/>
      <c r="N30" s="3"/>
      <c r="O30" s="3"/>
      <c r="P30" s="3"/>
      <c r="Q30" s="3"/>
      <c r="R30" s="191"/>
      <c r="S30" s="208"/>
      <c r="T30" s="208"/>
      <c r="U30" s="30"/>
      <c r="V30" s="34">
        <f>工作表1!Y68</f>
        <v>4</v>
      </c>
      <c r="W30" s="195"/>
      <c r="X30" s="208"/>
      <c r="Y30" s="208"/>
      <c r="Z30" s="30"/>
      <c r="AA30" s="34">
        <f>工作表1!Y78</f>
        <v>3</v>
      </c>
      <c r="AB30" s="191"/>
      <c r="AC30" s="208"/>
      <c r="AD30" s="208"/>
      <c r="AE30" s="30"/>
      <c r="AF30" s="34">
        <f>工作表1!Y73</f>
        <v>3</v>
      </c>
      <c r="AG30" s="3"/>
      <c r="AH30" s="3"/>
      <c r="AI30" s="25"/>
      <c r="AJ30" s="21"/>
      <c r="AK30" s="22"/>
      <c r="AL30" s="22"/>
      <c r="AM30" s="22"/>
      <c r="AN30" s="23"/>
      <c r="AO30" s="22"/>
      <c r="AP30" s="22"/>
      <c r="AQ30" s="24"/>
      <c r="AR30" s="22"/>
      <c r="AS30" s="22"/>
      <c r="AT30" s="3"/>
      <c r="AU30" s="3"/>
      <c r="AV30" s="3"/>
      <c r="AW30" s="3"/>
      <c r="AX30" s="3"/>
      <c r="AY30" s="3"/>
      <c r="AZ30" s="3"/>
      <c r="BA30" s="3"/>
      <c r="BB30" s="3"/>
      <c r="BC30" s="3"/>
      <c r="BD30" s="3"/>
      <c r="BE30" s="3"/>
      <c r="BF30" s="3"/>
      <c r="BG30" s="3"/>
      <c r="BH30" s="27"/>
    </row>
    <row r="31" spans="2:60" ht="16.350000000000001" customHeight="1" thickBot="1">
      <c r="B31" s="27"/>
      <c r="C31" s="25"/>
      <c r="D31" s="21"/>
      <c r="E31" s="22"/>
      <c r="F31" s="22"/>
      <c r="G31" s="22"/>
      <c r="H31" s="23"/>
      <c r="I31" s="22"/>
      <c r="J31" s="22"/>
      <c r="K31" s="24"/>
      <c r="L31" s="22"/>
      <c r="M31" s="22"/>
      <c r="N31" s="3"/>
      <c r="O31" s="3"/>
      <c r="P31" s="3"/>
      <c r="Q31" s="3"/>
      <c r="R31" s="224"/>
      <c r="S31" s="221"/>
      <c r="T31" s="221"/>
      <c r="U31" s="29"/>
      <c r="V31" s="35">
        <f>工作表1!Y69</f>
        <v>0</v>
      </c>
      <c r="W31" s="195"/>
      <c r="X31" s="208"/>
      <c r="Y31" s="208"/>
      <c r="Z31" s="30"/>
      <c r="AA31" s="35">
        <f>工作表1!Y79</f>
        <v>0</v>
      </c>
      <c r="AB31" s="224"/>
      <c r="AC31" s="221"/>
      <c r="AD31" s="221"/>
      <c r="AE31" s="29"/>
      <c r="AF31" s="35">
        <f>工作表1!Y74</f>
        <v>0</v>
      </c>
      <c r="AG31" s="3"/>
      <c r="AH31" s="3"/>
      <c r="AI31" s="25"/>
      <c r="AJ31" s="21"/>
      <c r="AK31" s="22"/>
      <c r="AL31" s="22"/>
      <c r="AM31" s="22"/>
      <c r="AN31" s="23"/>
      <c r="AO31" s="22"/>
      <c r="AP31" s="22"/>
      <c r="AQ31" s="24"/>
      <c r="AR31" s="22"/>
      <c r="AS31" s="22"/>
      <c r="AT31" s="3"/>
      <c r="AU31" s="3"/>
      <c r="AV31" s="3"/>
      <c r="AW31" s="3"/>
      <c r="AX31" s="3"/>
      <c r="AY31" s="3"/>
      <c r="AZ31" s="3"/>
      <c r="BA31" s="3"/>
      <c r="BB31" s="3"/>
      <c r="BC31" s="3"/>
      <c r="BD31" s="3"/>
      <c r="BE31" s="3"/>
      <c r="BF31" s="3"/>
      <c r="BG31" s="3"/>
      <c r="BH31" s="27"/>
    </row>
    <row r="32" spans="2:60" ht="16.350000000000001" customHeight="1" thickTop="1">
      <c r="B32" s="27"/>
      <c r="C32" s="20"/>
      <c r="D32" s="21"/>
      <c r="E32" s="22"/>
      <c r="F32" s="22"/>
      <c r="G32" s="22"/>
      <c r="H32" s="23"/>
      <c r="I32" s="22"/>
      <c r="J32" s="22"/>
      <c r="K32" s="24"/>
      <c r="L32" s="22"/>
      <c r="M32" s="22"/>
      <c r="N32" s="3"/>
      <c r="O32" s="3"/>
      <c r="P32" s="3"/>
      <c r="Q32" s="3"/>
      <c r="R32" s="3"/>
      <c r="S32" s="3"/>
      <c r="T32" s="3"/>
      <c r="U32" s="3"/>
      <c r="V32" s="3"/>
      <c r="W32" s="182" t="str">
        <f>工作表1!W32</f>
        <v>古城里</v>
      </c>
      <c r="X32" s="183"/>
      <c r="Y32" s="183"/>
      <c r="Z32" s="183"/>
      <c r="AA32" s="184"/>
      <c r="AB32" s="3"/>
      <c r="AC32" s="3"/>
      <c r="AD32" s="3"/>
      <c r="AE32" s="3"/>
      <c r="AF32" s="3"/>
      <c r="AG32" s="3"/>
      <c r="AH32" s="3"/>
      <c r="AI32" s="20"/>
      <c r="AJ32" s="21"/>
      <c r="AK32" s="22"/>
      <c r="AL32" s="22"/>
      <c r="AM32" s="22"/>
      <c r="AN32" s="23"/>
      <c r="AO32" s="22"/>
      <c r="AP32" s="22"/>
      <c r="AQ32" s="24"/>
      <c r="AR32" s="22"/>
      <c r="AS32" s="22"/>
      <c r="AT32" s="3"/>
      <c r="AU32" s="3"/>
      <c r="AV32" s="3"/>
      <c r="AW32" s="182" t="s">
        <v>29</v>
      </c>
      <c r="AX32" s="183"/>
      <c r="AY32" s="183"/>
      <c r="AZ32" s="183"/>
      <c r="BA32" s="184"/>
      <c r="BB32" s="3"/>
      <c r="BC32" s="182" t="s">
        <v>30</v>
      </c>
      <c r="BD32" s="183"/>
      <c r="BE32" s="183"/>
      <c r="BF32" s="183"/>
      <c r="BG32" s="184"/>
      <c r="BH32" s="27"/>
    </row>
    <row r="33" spans="2:60" ht="16.350000000000001" customHeight="1">
      <c r="B33" s="27"/>
      <c r="C33" s="25"/>
      <c r="D33" s="21"/>
      <c r="E33" s="22"/>
      <c r="F33" s="22"/>
      <c r="G33" s="22"/>
      <c r="H33" s="23"/>
      <c r="I33" s="22"/>
      <c r="J33" s="22"/>
      <c r="K33" s="24"/>
      <c r="L33" s="22"/>
      <c r="M33" s="22"/>
      <c r="N33" s="3"/>
      <c r="O33" s="3"/>
      <c r="P33" s="3"/>
      <c r="Q33" s="3"/>
      <c r="R33" s="3"/>
      <c r="S33" s="3"/>
      <c r="T33" s="3"/>
      <c r="U33" s="3"/>
      <c r="V33" s="3"/>
      <c r="W33" s="185"/>
      <c r="X33" s="66"/>
      <c r="Y33" s="66"/>
      <c r="Z33" s="66"/>
      <c r="AA33" s="89"/>
      <c r="AB33" s="3"/>
      <c r="AC33" s="3"/>
      <c r="AD33" s="3"/>
      <c r="AE33" s="3"/>
      <c r="AF33" s="3"/>
      <c r="AG33" s="3"/>
      <c r="AH33" s="3"/>
      <c r="AI33" s="25"/>
      <c r="AJ33" s="21"/>
      <c r="AK33" s="22"/>
      <c r="AL33" s="22"/>
      <c r="AM33" s="22"/>
      <c r="AN33" s="23"/>
      <c r="AO33" s="22"/>
      <c r="AP33" s="22"/>
      <c r="AQ33" s="24"/>
      <c r="AR33" s="22"/>
      <c r="AS33" s="22"/>
      <c r="AT33" s="3"/>
      <c r="AU33" s="3"/>
      <c r="AV33" s="3"/>
      <c r="AW33" s="185"/>
      <c r="AX33" s="66"/>
      <c r="AY33" s="66"/>
      <c r="AZ33" s="66"/>
      <c r="BA33" s="89"/>
      <c r="BB33" s="3"/>
      <c r="BC33" s="185"/>
      <c r="BD33" s="66"/>
      <c r="BE33" s="66"/>
      <c r="BF33" s="66"/>
      <c r="BG33" s="89"/>
      <c r="BH33" s="27"/>
    </row>
    <row r="34" spans="2:60" ht="16.350000000000001" customHeight="1">
      <c r="B34" s="27"/>
      <c r="C34" s="25"/>
      <c r="D34" s="21"/>
      <c r="E34" s="22"/>
      <c r="F34" s="22"/>
      <c r="G34" s="22"/>
      <c r="H34" s="23"/>
      <c r="I34" s="22"/>
      <c r="J34" s="22"/>
      <c r="K34" s="24"/>
      <c r="L34" s="22"/>
      <c r="M34" s="22"/>
      <c r="N34" s="3"/>
      <c r="O34" s="3"/>
      <c r="P34" s="3"/>
      <c r="Q34" s="3"/>
      <c r="R34" s="3"/>
      <c r="S34" s="3"/>
      <c r="T34" s="3"/>
      <c r="U34" s="3"/>
      <c r="V34" s="3"/>
      <c r="W34" s="191"/>
      <c r="X34" s="208"/>
      <c r="Y34" s="208"/>
      <c r="Z34" s="30"/>
      <c r="AA34" s="34">
        <f>工作表1!Y62</f>
        <v>0</v>
      </c>
      <c r="AB34" s="3"/>
      <c r="AC34" s="3"/>
      <c r="AD34" s="3"/>
      <c r="AE34" s="3"/>
      <c r="AF34" s="3"/>
      <c r="AG34" s="3"/>
      <c r="AH34" s="3"/>
      <c r="AI34" s="25"/>
      <c r="AJ34" s="21"/>
      <c r="AK34" s="22"/>
      <c r="AL34" s="22"/>
      <c r="AM34" s="22"/>
      <c r="AN34" s="23"/>
      <c r="AO34" s="22"/>
      <c r="AP34" s="22"/>
      <c r="AQ34" s="24"/>
      <c r="AR34" s="22"/>
      <c r="AS34" s="22"/>
      <c r="AT34" s="3"/>
      <c r="AU34" s="3"/>
      <c r="AV34" s="3"/>
      <c r="AW34" s="191"/>
      <c r="AX34" s="181"/>
      <c r="AY34" s="181"/>
      <c r="AZ34" s="30"/>
      <c r="BA34" s="31">
        <f>工作表1!BI69</f>
        <v>0</v>
      </c>
      <c r="BB34" s="3"/>
      <c r="BC34" s="191"/>
      <c r="BD34" s="181"/>
      <c r="BE34" s="181"/>
      <c r="BF34" s="30"/>
      <c r="BG34" s="31">
        <f>工作表1!BI72</f>
        <v>0</v>
      </c>
      <c r="BH34" s="27"/>
    </row>
    <row r="35" spans="2:60" ht="16.350000000000001" customHeight="1">
      <c r="B35" s="27"/>
      <c r="C35" s="20"/>
      <c r="D35" s="21"/>
      <c r="E35" s="22"/>
      <c r="F35" s="22"/>
      <c r="G35" s="22"/>
      <c r="H35" s="23"/>
      <c r="I35" s="26"/>
      <c r="J35" s="26"/>
      <c r="K35" s="24"/>
      <c r="L35" s="22"/>
      <c r="M35" s="22"/>
      <c r="N35" s="3"/>
      <c r="O35" s="3"/>
      <c r="P35" s="3"/>
      <c r="Q35" s="3"/>
      <c r="R35" s="3"/>
      <c r="S35" s="3"/>
      <c r="T35" s="3"/>
      <c r="U35" s="3"/>
      <c r="V35" s="3"/>
      <c r="W35" s="191"/>
      <c r="X35" s="208"/>
      <c r="Y35" s="208"/>
      <c r="Z35" s="30"/>
      <c r="AA35" s="34">
        <f>工作表1!Y63</f>
        <v>5</v>
      </c>
      <c r="AB35" s="3"/>
      <c r="AC35" s="3"/>
      <c r="AD35" s="3"/>
      <c r="AE35" s="3"/>
      <c r="AF35" s="3"/>
      <c r="AG35" s="3"/>
      <c r="AH35" s="3"/>
      <c r="AI35" s="20"/>
      <c r="AJ35" s="21"/>
      <c r="AK35" s="22"/>
      <c r="AL35" s="22"/>
      <c r="AM35" s="22"/>
      <c r="AN35" s="23"/>
      <c r="AO35" s="22"/>
      <c r="AP35" s="22"/>
      <c r="AQ35" s="24"/>
      <c r="AR35" s="22"/>
      <c r="AS35" s="22"/>
      <c r="AT35" s="3"/>
      <c r="AU35" s="3"/>
      <c r="AV35" s="3"/>
      <c r="AW35" s="180"/>
      <c r="AX35" s="181"/>
      <c r="AY35" s="181"/>
      <c r="AZ35" s="30"/>
      <c r="BA35" s="31">
        <f>工作表1!BI70</f>
        <v>5</v>
      </c>
      <c r="BB35" s="3"/>
      <c r="BC35" s="180"/>
      <c r="BD35" s="181"/>
      <c r="BE35" s="181"/>
      <c r="BF35" s="30"/>
      <c r="BG35" s="31">
        <f>工作表1!BI73</f>
        <v>2</v>
      </c>
      <c r="BH35" s="27"/>
    </row>
    <row r="36" spans="2:60" ht="16.350000000000001" customHeight="1" thickBot="1">
      <c r="B36" s="27"/>
      <c r="C36" s="25"/>
      <c r="D36" s="21"/>
      <c r="E36" s="22"/>
      <c r="F36" s="22"/>
      <c r="G36" s="22"/>
      <c r="H36" s="23"/>
      <c r="I36" s="23"/>
      <c r="J36" s="23"/>
      <c r="K36" s="24"/>
      <c r="L36" s="22"/>
      <c r="M36" s="22"/>
      <c r="N36" s="3"/>
      <c r="O36" s="3"/>
      <c r="P36" s="3"/>
      <c r="Q36" s="3"/>
      <c r="R36" s="3"/>
      <c r="S36" s="3"/>
      <c r="T36" s="3"/>
      <c r="U36" s="3"/>
      <c r="V36" s="3"/>
      <c r="W36" s="224"/>
      <c r="X36" s="221"/>
      <c r="Y36" s="221"/>
      <c r="Z36" s="29"/>
      <c r="AA36" s="35">
        <f>工作表1!Y64</f>
        <v>0</v>
      </c>
      <c r="AB36" s="3"/>
      <c r="AC36" s="3"/>
      <c r="AD36" s="3"/>
      <c r="AE36" s="3"/>
      <c r="AF36" s="3"/>
      <c r="AG36" s="3"/>
      <c r="AH36" s="3"/>
      <c r="AI36" s="25"/>
      <c r="AJ36" s="21"/>
      <c r="AK36" s="22"/>
      <c r="AL36" s="22"/>
      <c r="AM36" s="22"/>
      <c r="AN36" s="23"/>
      <c r="AO36" s="22"/>
      <c r="AP36" s="22"/>
      <c r="AQ36" s="24"/>
      <c r="AR36" s="22"/>
      <c r="AS36" s="22"/>
      <c r="AT36" s="3"/>
      <c r="AU36" s="3"/>
      <c r="AV36" s="3"/>
      <c r="AW36" s="192"/>
      <c r="AX36" s="193"/>
      <c r="AY36" s="193"/>
      <c r="AZ36" s="29"/>
      <c r="BA36" s="31">
        <f>工作表1!BI71</f>
        <v>0</v>
      </c>
      <c r="BB36" s="3"/>
      <c r="BC36" s="192"/>
      <c r="BD36" s="193"/>
      <c r="BE36" s="193"/>
      <c r="BF36" s="29"/>
      <c r="BG36" s="31">
        <f>工作表1!BI74</f>
        <v>0</v>
      </c>
      <c r="BH36" s="27"/>
    </row>
    <row r="37" spans="2:60" ht="16.350000000000001" customHeight="1" thickTop="1">
      <c r="B37" s="27"/>
      <c r="C37" s="25"/>
      <c r="D37" s="21"/>
      <c r="E37" s="22"/>
      <c r="F37" s="22"/>
      <c r="G37" s="22"/>
      <c r="H37" s="23"/>
      <c r="I37" s="22"/>
      <c r="J37" s="22"/>
      <c r="K37" s="24"/>
      <c r="L37" s="22"/>
      <c r="M37" s="22"/>
      <c r="N37" s="3"/>
      <c r="O37" s="3"/>
      <c r="P37" s="3"/>
      <c r="Q37" s="3"/>
      <c r="R37" s="3"/>
      <c r="S37" s="3"/>
      <c r="T37" s="3"/>
      <c r="U37" s="3"/>
      <c r="V37" s="3"/>
      <c r="W37" s="3"/>
      <c r="X37" s="3"/>
      <c r="Y37" s="3"/>
      <c r="Z37" s="3"/>
      <c r="AA37" s="3"/>
      <c r="AB37" s="3"/>
      <c r="AC37" s="3"/>
      <c r="AD37" s="3"/>
      <c r="AE37" s="3"/>
      <c r="AF37" s="3"/>
      <c r="AG37" s="3"/>
      <c r="AH37" s="3"/>
      <c r="AI37" s="25"/>
      <c r="AJ37" s="21"/>
      <c r="AK37" s="22"/>
      <c r="AL37" s="22"/>
      <c r="AM37" s="22"/>
      <c r="AN37" s="23"/>
      <c r="AO37" s="22"/>
      <c r="AP37" s="22"/>
      <c r="AQ37" s="24"/>
      <c r="AR37" s="22"/>
      <c r="AS37" s="22"/>
      <c r="AT37" s="3"/>
      <c r="AU37" s="3"/>
      <c r="AV37" s="3"/>
      <c r="AW37" s="3"/>
      <c r="AX37" s="3"/>
      <c r="AY37" s="3"/>
      <c r="AZ37" s="3"/>
      <c r="BA37" s="3"/>
      <c r="BB37" s="3"/>
      <c r="BC37" s="3"/>
      <c r="BD37" s="3"/>
      <c r="BE37" s="3"/>
      <c r="BF37" s="3"/>
      <c r="BG37" s="3"/>
      <c r="BH37" s="27"/>
    </row>
  </sheetData>
  <mergeCells count="168">
    <mergeCell ref="AW34:AY34"/>
    <mergeCell ref="BC34:BE34"/>
    <mergeCell ref="W35:Y35"/>
    <mergeCell ref="W34:Y34"/>
    <mergeCell ref="AW32:BA33"/>
    <mergeCell ref="BC32:BG33"/>
    <mergeCell ref="BC36:BE36"/>
    <mergeCell ref="BC35:BE35"/>
    <mergeCell ref="W36:Y36"/>
    <mergeCell ref="AW35:AY35"/>
    <mergeCell ref="AW36:AY36"/>
    <mergeCell ref="R27:V28"/>
    <mergeCell ref="W27:AA28"/>
    <mergeCell ref="AB27:AF28"/>
    <mergeCell ref="AX27:AZ27"/>
    <mergeCell ref="AX28:AZ28"/>
    <mergeCell ref="C26:E26"/>
    <mergeCell ref="Y26:AA26"/>
    <mergeCell ref="AD26:AF26"/>
    <mergeCell ref="W32:AA33"/>
    <mergeCell ref="R31:T31"/>
    <mergeCell ref="W31:Y31"/>
    <mergeCell ref="AB31:AD31"/>
    <mergeCell ref="AX29:AZ29"/>
    <mergeCell ref="R30:T30"/>
    <mergeCell ref="W30:Y30"/>
    <mergeCell ref="W29:Y29"/>
    <mergeCell ref="AB29:AD29"/>
    <mergeCell ref="AB30:AD30"/>
    <mergeCell ref="R29:T29"/>
    <mergeCell ref="H24:J24"/>
    <mergeCell ref="Y24:AA24"/>
    <mergeCell ref="AD24:AF24"/>
    <mergeCell ref="AX24:AZ24"/>
    <mergeCell ref="AS22:AW23"/>
    <mergeCell ref="AX22:AZ22"/>
    <mergeCell ref="BC24:BE24"/>
    <mergeCell ref="C25:E25"/>
    <mergeCell ref="Y25:AA25"/>
    <mergeCell ref="AD25:AF25"/>
    <mergeCell ref="AI24:AK24"/>
    <mergeCell ref="AN24:AP24"/>
    <mergeCell ref="AS24:AU24"/>
    <mergeCell ref="AS25:AU25"/>
    <mergeCell ref="AX25:BB26"/>
    <mergeCell ref="BC25:BE25"/>
    <mergeCell ref="AS26:AU26"/>
    <mergeCell ref="BC26:BE26"/>
    <mergeCell ref="C24:E24"/>
    <mergeCell ref="BC22:BG23"/>
    <mergeCell ref="H23:J23"/>
    <mergeCell ref="AI23:AK23"/>
    <mergeCell ref="AN23:AP23"/>
    <mergeCell ref="AX23:AZ23"/>
    <mergeCell ref="C22:G23"/>
    <mergeCell ref="H22:J22"/>
    <mergeCell ref="Y22:AC23"/>
    <mergeCell ref="AD22:AH23"/>
    <mergeCell ref="AI22:AK22"/>
    <mergeCell ref="AN22:AP22"/>
    <mergeCell ref="C21:E21"/>
    <mergeCell ref="M21:O21"/>
    <mergeCell ref="Y21:AA21"/>
    <mergeCell ref="AD21:AF21"/>
    <mergeCell ref="BC20:BE20"/>
    <mergeCell ref="AI20:AM21"/>
    <mergeCell ref="AN20:AR21"/>
    <mergeCell ref="AS20:AU20"/>
    <mergeCell ref="AX20:BB21"/>
    <mergeCell ref="AS21:AU21"/>
    <mergeCell ref="BC21:BE21"/>
    <mergeCell ref="BC19:BE19"/>
    <mergeCell ref="AX19:AZ19"/>
    <mergeCell ref="AS19:AU19"/>
    <mergeCell ref="C17:G18"/>
    <mergeCell ref="H17:J17"/>
    <mergeCell ref="M17:Q18"/>
    <mergeCell ref="Y17:AC18"/>
    <mergeCell ref="AD17:AH18"/>
    <mergeCell ref="Y20:AA20"/>
    <mergeCell ref="AD20:AF20"/>
    <mergeCell ref="AN19:AP19"/>
    <mergeCell ref="C19:E19"/>
    <mergeCell ref="H19:J19"/>
    <mergeCell ref="M19:O19"/>
    <mergeCell ref="AI19:AK19"/>
    <mergeCell ref="C20:E20"/>
    <mergeCell ref="H20:L21"/>
    <mergeCell ref="M20:O20"/>
    <mergeCell ref="Y19:AA19"/>
    <mergeCell ref="AD19:AF19"/>
    <mergeCell ref="BC17:BG18"/>
    <mergeCell ref="H18:J18"/>
    <mergeCell ref="AI18:AK18"/>
    <mergeCell ref="AN18:AP18"/>
    <mergeCell ref="AX18:AZ18"/>
    <mergeCell ref="AI17:AK17"/>
    <mergeCell ref="AN17:AP17"/>
    <mergeCell ref="AS17:AW18"/>
    <mergeCell ref="AX17:AZ17"/>
    <mergeCell ref="AN15:AR16"/>
    <mergeCell ref="AS15:AU15"/>
    <mergeCell ref="AX15:BB16"/>
    <mergeCell ref="BC15:BE15"/>
    <mergeCell ref="AS16:AU16"/>
    <mergeCell ref="BC16:BE16"/>
    <mergeCell ref="H15:L16"/>
    <mergeCell ref="Y15:AA15"/>
    <mergeCell ref="AD15:AF15"/>
    <mergeCell ref="AI15:AM16"/>
    <mergeCell ref="Y16:AA16"/>
    <mergeCell ref="AD16:AF16"/>
    <mergeCell ref="AS14:AU14"/>
    <mergeCell ref="AX14:AZ14"/>
    <mergeCell ref="BC14:BE14"/>
    <mergeCell ref="Y14:AA14"/>
    <mergeCell ref="AD14:AF14"/>
    <mergeCell ref="AN14:AP14"/>
    <mergeCell ref="AS11:AU11"/>
    <mergeCell ref="BC11:BE11"/>
    <mergeCell ref="AX10:BB11"/>
    <mergeCell ref="BC10:BE10"/>
    <mergeCell ref="AX12:AZ12"/>
    <mergeCell ref="BC12:BG13"/>
    <mergeCell ref="AX13:AZ13"/>
    <mergeCell ref="C12:E12"/>
    <mergeCell ref="F12:H12"/>
    <mergeCell ref="I12:K12"/>
    <mergeCell ref="L12:N12"/>
    <mergeCell ref="O12:Q12"/>
    <mergeCell ref="Y12:AC13"/>
    <mergeCell ref="AD12:AH13"/>
    <mergeCell ref="AN12:AP12"/>
    <mergeCell ref="AS12:AW13"/>
    <mergeCell ref="AN13:AP13"/>
    <mergeCell ref="C11:E11"/>
    <mergeCell ref="F11:H11"/>
    <mergeCell ref="I11:K11"/>
    <mergeCell ref="L11:N11"/>
    <mergeCell ref="O11:Q11"/>
    <mergeCell ref="T11:V11"/>
    <mergeCell ref="AX9:AZ9"/>
    <mergeCell ref="BC9:BE9"/>
    <mergeCell ref="T10:V10"/>
    <mergeCell ref="Y10:AA10"/>
    <mergeCell ref="AN10:AR11"/>
    <mergeCell ref="AS10:AU10"/>
    <mergeCell ref="T9:V9"/>
    <mergeCell ref="Y9:AA9"/>
    <mergeCell ref="AS9:AU9"/>
    <mergeCell ref="Y11:AA11"/>
    <mergeCell ref="BC7:BG8"/>
    <mergeCell ref="C8:E8"/>
    <mergeCell ref="F8:H8"/>
    <mergeCell ref="I8:K8"/>
    <mergeCell ref="L8:N8"/>
    <mergeCell ref="O8:Q8"/>
    <mergeCell ref="AX8:AZ8"/>
    <mergeCell ref="AX5:BB6"/>
    <mergeCell ref="C7:E7"/>
    <mergeCell ref="F7:H7"/>
    <mergeCell ref="I7:K7"/>
    <mergeCell ref="L7:N7"/>
    <mergeCell ref="O7:Q7"/>
    <mergeCell ref="T7:X8"/>
    <mergeCell ref="Y7:AC8"/>
    <mergeCell ref="AS7:AW8"/>
    <mergeCell ref="AX7:AZ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5" t="s">
        <v>37</v>
      </c>
      <c r="B2" s="44" t="s">
        <v>95</v>
      </c>
      <c r="C2" s="44">
        <v>1</v>
      </c>
      <c r="D2" s="47">
        <v>16</v>
      </c>
      <c r="E2" s="46">
        <f>D2/SUM(D2:D6)</f>
        <v>1.6736401673640166E-2</v>
      </c>
    </row>
    <row r="3" spans="1:5" ht="16.5" customHeight="1">
      <c r="A3" s="226"/>
      <c r="B3" s="44" t="s">
        <v>96</v>
      </c>
      <c r="C3" s="44">
        <v>2</v>
      </c>
      <c r="D3" s="47">
        <v>423</v>
      </c>
      <c r="E3" s="46">
        <f>D3/SUM(D2:D6)</f>
        <v>0.44246861924686193</v>
      </c>
    </row>
    <row r="4" spans="1:5" ht="16.5" customHeight="1">
      <c r="A4" s="226"/>
      <c r="B4" s="44" t="s">
        <v>97</v>
      </c>
      <c r="C4" s="44">
        <v>3</v>
      </c>
      <c r="D4" s="47">
        <v>12</v>
      </c>
      <c r="E4" s="46">
        <f>D4/SUM(D2:D6)</f>
        <v>1.2552301255230125E-2</v>
      </c>
    </row>
    <row r="5" spans="1:5" ht="16.5" customHeight="1">
      <c r="A5" s="227"/>
      <c r="B5" s="44" t="s">
        <v>98</v>
      </c>
      <c r="C5" s="44">
        <v>4</v>
      </c>
      <c r="D5" s="47">
        <v>390</v>
      </c>
      <c r="E5" s="46">
        <f>D5/SUM(D2:D6)</f>
        <v>0.40794979079497906</v>
      </c>
    </row>
    <row r="6" spans="1:5" ht="16.5" customHeight="1">
      <c r="A6" s="228"/>
      <c r="B6" s="44" t="s">
        <v>99</v>
      </c>
      <c r="C6" s="44">
        <v>5</v>
      </c>
      <c r="D6" s="47">
        <v>115</v>
      </c>
      <c r="E6" s="46">
        <f>D6/SUM(D2:D6)</f>
        <v>0.1202928870292887</v>
      </c>
    </row>
    <row r="7" spans="1:5" ht="16.5" customHeight="1">
      <c r="A7" s="225" t="s">
        <v>38</v>
      </c>
      <c r="B7" s="44" t="s">
        <v>95</v>
      </c>
      <c r="C7" s="44">
        <v>1</v>
      </c>
      <c r="D7" s="47">
        <v>24</v>
      </c>
      <c r="E7" s="46">
        <f>D7/SUM(D7:D11)</f>
        <v>1.4226437462951986E-2</v>
      </c>
    </row>
    <row r="8" spans="1:5" ht="16.5" customHeight="1">
      <c r="A8" s="226"/>
      <c r="B8" s="44" t="s">
        <v>96</v>
      </c>
      <c r="C8" s="44">
        <v>2</v>
      </c>
      <c r="D8" s="47">
        <v>895</v>
      </c>
      <c r="E8" s="46">
        <f>D8/SUM(D7:D11)</f>
        <v>0.53052756372258447</v>
      </c>
    </row>
    <row r="9" spans="1:5" ht="16.5" customHeight="1">
      <c r="A9" s="226"/>
      <c r="B9" s="44" t="s">
        <v>97</v>
      </c>
      <c r="C9" s="44">
        <v>3</v>
      </c>
      <c r="D9" s="47">
        <v>19</v>
      </c>
      <c r="E9" s="46">
        <f>D9/SUM(D7:D11)</f>
        <v>1.1262596324836989E-2</v>
      </c>
    </row>
    <row r="10" spans="1:5" ht="16.5" customHeight="1">
      <c r="A10" s="227"/>
      <c r="B10" s="44" t="s">
        <v>98</v>
      </c>
      <c r="C10" s="44">
        <v>4</v>
      </c>
      <c r="D10" s="47">
        <v>351</v>
      </c>
      <c r="E10" s="46">
        <f>D10/SUM(D7:D11)</f>
        <v>0.2080616478956728</v>
      </c>
    </row>
    <row r="11" spans="1:5" ht="16.5" customHeight="1">
      <c r="A11" s="228"/>
      <c r="B11" s="44" t="s">
        <v>99</v>
      </c>
      <c r="C11" s="44">
        <v>5</v>
      </c>
      <c r="D11" s="47">
        <v>398</v>
      </c>
      <c r="E11" s="46">
        <f>D11/SUM(D7:D11)</f>
        <v>0.23592175459395376</v>
      </c>
    </row>
    <row r="12" spans="1:5" ht="16.5" customHeight="1">
      <c r="A12" s="225" t="s">
        <v>39</v>
      </c>
      <c r="B12" s="44" t="s">
        <v>95</v>
      </c>
      <c r="C12" s="44">
        <v>1</v>
      </c>
      <c r="D12" s="47">
        <v>24</v>
      </c>
      <c r="E12" s="46">
        <f>D12/SUM(D12:D16)</f>
        <v>1.9093078758949882E-2</v>
      </c>
    </row>
    <row r="13" spans="1:5" ht="16.5" customHeight="1">
      <c r="A13" s="226"/>
      <c r="B13" s="44" t="s">
        <v>96</v>
      </c>
      <c r="C13" s="44">
        <v>2</v>
      </c>
      <c r="D13" s="47">
        <v>695</v>
      </c>
      <c r="E13" s="46">
        <f>D13/SUM(D12:D16)</f>
        <v>0.552903739061257</v>
      </c>
    </row>
    <row r="14" spans="1:5" ht="16.5" customHeight="1">
      <c r="A14" s="226"/>
      <c r="B14" s="44" t="s">
        <v>97</v>
      </c>
      <c r="C14" s="44">
        <v>3</v>
      </c>
      <c r="D14" s="47">
        <v>24</v>
      </c>
      <c r="E14" s="46">
        <f>D14/SUM(D12:D16)</f>
        <v>1.9093078758949882E-2</v>
      </c>
    </row>
    <row r="15" spans="1:5" ht="16.5" customHeight="1">
      <c r="A15" s="227"/>
      <c r="B15" s="44" t="s">
        <v>98</v>
      </c>
      <c r="C15" s="44">
        <v>4</v>
      </c>
      <c r="D15" s="47">
        <v>319</v>
      </c>
      <c r="E15" s="46">
        <f>D15/SUM(D12:D16)</f>
        <v>0.25377883850437549</v>
      </c>
    </row>
    <row r="16" spans="1:5" ht="16.5" customHeight="1">
      <c r="A16" s="228"/>
      <c r="B16" s="44" t="s">
        <v>99</v>
      </c>
      <c r="C16" s="44">
        <v>5</v>
      </c>
      <c r="D16" s="47">
        <v>195</v>
      </c>
      <c r="E16" s="46">
        <f>D16/SUM(D12:D16)</f>
        <v>0.15513126491646778</v>
      </c>
    </row>
    <row r="17" spans="1:5" ht="16.5" customHeight="1">
      <c r="A17" s="225" t="s">
        <v>40</v>
      </c>
      <c r="B17" s="44" t="s">
        <v>95</v>
      </c>
      <c r="C17" s="44">
        <v>1</v>
      </c>
      <c r="D17" s="47">
        <v>12</v>
      </c>
      <c r="E17" s="46">
        <f>D17/SUM(D17:D21)</f>
        <v>1.4302741358760428E-2</v>
      </c>
    </row>
    <row r="18" spans="1:5" ht="16.5" customHeight="1">
      <c r="A18" s="226"/>
      <c r="B18" s="44" t="s">
        <v>96</v>
      </c>
      <c r="C18" s="44">
        <v>2</v>
      </c>
      <c r="D18" s="47">
        <v>463</v>
      </c>
      <c r="E18" s="46">
        <f>D18/SUM(D17:D21)</f>
        <v>0.55184743742550657</v>
      </c>
    </row>
    <row r="19" spans="1:5" ht="16.5" customHeight="1">
      <c r="A19" s="226"/>
      <c r="B19" s="44" t="s">
        <v>97</v>
      </c>
      <c r="C19" s="44">
        <v>3</v>
      </c>
      <c r="D19" s="47">
        <v>15</v>
      </c>
      <c r="E19" s="46">
        <f>D19/SUM(D17:D21)</f>
        <v>1.7878426698450536E-2</v>
      </c>
    </row>
    <row r="20" spans="1:5" ht="16.5" customHeight="1">
      <c r="A20" s="227"/>
      <c r="B20" s="44" t="s">
        <v>98</v>
      </c>
      <c r="C20" s="44">
        <v>4</v>
      </c>
      <c r="D20" s="47">
        <v>173</v>
      </c>
      <c r="E20" s="46">
        <f>D20/SUM(D17:D21)</f>
        <v>0.20619785458879619</v>
      </c>
    </row>
    <row r="21" spans="1:5" ht="16.5" customHeight="1">
      <c r="A21" s="228"/>
      <c r="B21" s="44" t="s">
        <v>99</v>
      </c>
      <c r="C21" s="44">
        <v>5</v>
      </c>
      <c r="D21" s="47">
        <v>176</v>
      </c>
      <c r="E21" s="46">
        <f>D21/SUM(D17:D21)</f>
        <v>0.2097735399284863</v>
      </c>
    </row>
    <row r="22" spans="1:5" ht="16.5" customHeight="1">
      <c r="A22" s="225" t="s">
        <v>41</v>
      </c>
      <c r="B22" s="44" t="s">
        <v>95</v>
      </c>
      <c r="C22" s="44">
        <v>1</v>
      </c>
      <c r="D22" s="47">
        <v>10</v>
      </c>
      <c r="E22" s="46">
        <f>D22/SUM(D22:D26)</f>
        <v>1.4858841010401188E-2</v>
      </c>
    </row>
    <row r="23" spans="1:5" ht="16.5" customHeight="1">
      <c r="A23" s="226"/>
      <c r="B23" s="44" t="s">
        <v>96</v>
      </c>
      <c r="C23" s="44">
        <v>2</v>
      </c>
      <c r="D23" s="47">
        <v>251</v>
      </c>
      <c r="E23" s="46">
        <f>D23/SUM(D22:D26)</f>
        <v>0.37295690936106984</v>
      </c>
    </row>
    <row r="24" spans="1:5" ht="16.5" customHeight="1">
      <c r="A24" s="226"/>
      <c r="B24" s="44" t="s">
        <v>97</v>
      </c>
      <c r="C24" s="44">
        <v>3</v>
      </c>
      <c r="D24" s="47">
        <v>6</v>
      </c>
      <c r="E24" s="46">
        <f>D24/SUM(D22:D26)</f>
        <v>8.9153046062407128E-3</v>
      </c>
    </row>
    <row r="25" spans="1:5" ht="16.5" customHeight="1">
      <c r="A25" s="227"/>
      <c r="B25" s="44" t="s">
        <v>98</v>
      </c>
      <c r="C25" s="44">
        <v>4</v>
      </c>
      <c r="D25" s="47">
        <v>227</v>
      </c>
      <c r="E25" s="46">
        <f>D25/SUM(D22:D26)</f>
        <v>0.33729569093610701</v>
      </c>
    </row>
    <row r="26" spans="1:5" ht="16.5" customHeight="1">
      <c r="A26" s="228"/>
      <c r="B26" s="44" t="s">
        <v>99</v>
      </c>
      <c r="C26" s="44">
        <v>5</v>
      </c>
      <c r="D26" s="47">
        <v>179</v>
      </c>
      <c r="E26" s="46">
        <f>D26/SUM(D22:D26)</f>
        <v>0.26597325408618128</v>
      </c>
    </row>
    <row r="27" spans="1:5" ht="16.5" customHeight="1">
      <c r="A27" s="225" t="s">
        <v>42</v>
      </c>
      <c r="B27" s="44" t="s">
        <v>95</v>
      </c>
      <c r="C27" s="44">
        <v>1</v>
      </c>
      <c r="D27" s="47">
        <v>3</v>
      </c>
      <c r="E27" s="46">
        <f>D27/SUM(D27:D31)</f>
        <v>7.8534031413612562E-3</v>
      </c>
    </row>
    <row r="28" spans="1:5" ht="16.5" customHeight="1">
      <c r="A28" s="226"/>
      <c r="B28" s="44" t="s">
        <v>96</v>
      </c>
      <c r="C28" s="44">
        <v>2</v>
      </c>
      <c r="D28" s="47">
        <v>166</v>
      </c>
      <c r="E28" s="46">
        <f>D28/SUM(D27:D31)</f>
        <v>0.43455497382198954</v>
      </c>
    </row>
    <row r="29" spans="1:5" ht="16.5" customHeight="1">
      <c r="A29" s="226"/>
      <c r="B29" s="44" t="s">
        <v>97</v>
      </c>
      <c r="C29" s="44">
        <v>3</v>
      </c>
      <c r="D29" s="47">
        <v>33</v>
      </c>
      <c r="E29" s="46">
        <f>D29/SUM(D27:D31)</f>
        <v>8.6387434554973816E-2</v>
      </c>
    </row>
    <row r="30" spans="1:5" ht="16.5" customHeight="1">
      <c r="A30" s="227"/>
      <c r="B30" s="44" t="s">
        <v>98</v>
      </c>
      <c r="C30" s="44">
        <v>4</v>
      </c>
      <c r="D30" s="47">
        <v>88</v>
      </c>
      <c r="E30" s="46">
        <f>D30/SUM(D27:D31)</f>
        <v>0.23036649214659685</v>
      </c>
    </row>
    <row r="31" spans="1:5" ht="16.5" customHeight="1">
      <c r="A31" s="228"/>
      <c r="B31" s="44" t="s">
        <v>99</v>
      </c>
      <c r="C31" s="44">
        <v>5</v>
      </c>
      <c r="D31" s="47">
        <v>92</v>
      </c>
      <c r="E31" s="46">
        <f>D31/SUM(D27:D31)</f>
        <v>0.24083769633507854</v>
      </c>
    </row>
    <row r="32" spans="1:5" ht="16.5" customHeight="1">
      <c r="A32" s="225" t="s">
        <v>43</v>
      </c>
      <c r="B32" s="44" t="s">
        <v>95</v>
      </c>
      <c r="C32" s="44">
        <v>1</v>
      </c>
      <c r="D32" s="47">
        <v>3</v>
      </c>
      <c r="E32" s="46">
        <f>D32/SUM(D32:D36)</f>
        <v>9.6774193548387101E-3</v>
      </c>
    </row>
    <row r="33" spans="1:5" ht="16.5" customHeight="1">
      <c r="A33" s="226"/>
      <c r="B33" s="44" t="s">
        <v>96</v>
      </c>
      <c r="C33" s="44">
        <v>2</v>
      </c>
      <c r="D33" s="47">
        <v>156</v>
      </c>
      <c r="E33" s="46">
        <f>D33/SUM(D32:D36)</f>
        <v>0.50322580645161286</v>
      </c>
    </row>
    <row r="34" spans="1:5" ht="16.5" customHeight="1">
      <c r="A34" s="226"/>
      <c r="B34" s="44" t="s">
        <v>97</v>
      </c>
      <c r="C34" s="44">
        <v>3</v>
      </c>
      <c r="D34" s="47">
        <v>2</v>
      </c>
      <c r="E34" s="46">
        <f>D34/SUM(D32:D36)</f>
        <v>6.4516129032258064E-3</v>
      </c>
    </row>
    <row r="35" spans="1:5" ht="16.5" customHeight="1">
      <c r="A35" s="227"/>
      <c r="B35" s="44" t="s">
        <v>98</v>
      </c>
      <c r="C35" s="44">
        <v>4</v>
      </c>
      <c r="D35" s="47">
        <v>76</v>
      </c>
      <c r="E35" s="46">
        <f>D35/SUM(D32:D36)</f>
        <v>0.24516129032258063</v>
      </c>
    </row>
    <row r="36" spans="1:5" ht="16.5" customHeight="1">
      <c r="A36" s="228"/>
      <c r="B36" s="44" t="s">
        <v>99</v>
      </c>
      <c r="C36" s="44">
        <v>5</v>
      </c>
      <c r="D36" s="47">
        <v>73</v>
      </c>
      <c r="E36" s="46">
        <f>D36/SUM(D32:D36)</f>
        <v>0.23548387096774193</v>
      </c>
    </row>
    <row r="37" spans="1:5" ht="16.5" customHeight="1">
      <c r="A37" s="225" t="s">
        <v>44</v>
      </c>
      <c r="B37" s="44" t="s">
        <v>95</v>
      </c>
      <c r="C37" s="44">
        <v>1</v>
      </c>
      <c r="D37" s="47">
        <v>20</v>
      </c>
      <c r="E37" s="46">
        <f>D37/SUM(D37:D41)</f>
        <v>3.4782608695652174E-2</v>
      </c>
    </row>
    <row r="38" spans="1:5" ht="16.5" customHeight="1">
      <c r="A38" s="226"/>
      <c r="B38" s="44" t="s">
        <v>96</v>
      </c>
      <c r="C38" s="44">
        <v>2</v>
      </c>
      <c r="D38" s="47">
        <v>337</v>
      </c>
      <c r="E38" s="46">
        <f>D38/SUM(D37:D41)</f>
        <v>0.58608695652173914</v>
      </c>
    </row>
    <row r="39" spans="1:5" ht="16.5" customHeight="1">
      <c r="A39" s="226"/>
      <c r="B39" s="44" t="s">
        <v>97</v>
      </c>
      <c r="C39" s="44">
        <v>3</v>
      </c>
      <c r="D39" s="47">
        <v>12</v>
      </c>
      <c r="E39" s="46">
        <f>D39/SUM(D37:D41)</f>
        <v>2.0869565217391306E-2</v>
      </c>
    </row>
    <row r="40" spans="1:5" ht="16.5" customHeight="1">
      <c r="A40" s="227"/>
      <c r="B40" s="44" t="s">
        <v>98</v>
      </c>
      <c r="C40" s="44">
        <v>4</v>
      </c>
      <c r="D40" s="47">
        <v>86</v>
      </c>
      <c r="E40" s="46">
        <f>D40/SUM(D37:D41)</f>
        <v>0.14956521739130435</v>
      </c>
    </row>
    <row r="41" spans="1:5" ht="16.5" customHeight="1">
      <c r="A41" s="228"/>
      <c r="B41" s="44" t="s">
        <v>99</v>
      </c>
      <c r="C41" s="44">
        <v>5</v>
      </c>
      <c r="D41" s="47">
        <v>120</v>
      </c>
      <c r="E41" s="46">
        <f>D41/SUM(D37:D41)</f>
        <v>0.20869565217391303</v>
      </c>
    </row>
  </sheetData>
  <mergeCells count="8">
    <mergeCell ref="A2:A6"/>
    <mergeCell ref="A7:A11"/>
    <mergeCell ref="A37:A41"/>
    <mergeCell ref="A32:A36"/>
    <mergeCell ref="A27:A31"/>
    <mergeCell ref="A22:A26"/>
    <mergeCell ref="A17:A21"/>
    <mergeCell ref="A12:A16"/>
  </mergeCells>
  <phoneticPr fontId="1" type="noConversion"/>
  <pageMargins left="0.75" right="0.75" top="1" bottom="1" header="0.5" footer="0.5"/>
  <pageSetup paperSize="9" firstPageNumber="0" fitToWidth="0" fitToHeight="0" orientation="portrait" horizontalDpi="300" verticalDpi="300" r:id="rId1"/>
  <headerFooter alignWithMargins="0"/>
  <ignoredErrors>
    <ignoredError sqref="E2:E41"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opLeftCell="A13"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9" t="s">
        <v>45</v>
      </c>
      <c r="B2" s="44" t="s">
        <v>95</v>
      </c>
      <c r="C2" s="44">
        <v>1</v>
      </c>
      <c r="D2" s="47">
        <v>5</v>
      </c>
      <c r="E2" s="46">
        <f>D2/SUM(D2:D6)</f>
        <v>8.0906148867313909E-3</v>
      </c>
    </row>
    <row r="3" spans="1:5" ht="16.5" customHeight="1">
      <c r="A3" s="230"/>
      <c r="B3" s="44" t="s">
        <v>96</v>
      </c>
      <c r="C3" s="44">
        <v>2</v>
      </c>
      <c r="D3" s="47">
        <v>485</v>
      </c>
      <c r="E3" s="46">
        <f>D3/SUM(D2:D6)</f>
        <v>0.78478964401294493</v>
      </c>
    </row>
    <row r="4" spans="1:5" ht="16.5" customHeight="1">
      <c r="A4" s="230"/>
      <c r="B4" s="44" t="s">
        <v>97</v>
      </c>
      <c r="C4" s="44">
        <v>3</v>
      </c>
      <c r="D4" s="47">
        <v>5</v>
      </c>
      <c r="E4" s="46">
        <f>D4/SUM(D2:D6)</f>
        <v>8.0906148867313909E-3</v>
      </c>
    </row>
    <row r="5" spans="1:5" ht="16.5" customHeight="1">
      <c r="A5" s="231"/>
      <c r="B5" s="44" t="s">
        <v>98</v>
      </c>
      <c r="C5" s="44">
        <v>4</v>
      </c>
      <c r="D5" s="47">
        <v>63</v>
      </c>
      <c r="E5" s="46">
        <f>D5/SUM(D2:D6)</f>
        <v>0.10194174757281553</v>
      </c>
    </row>
    <row r="6" spans="1:5" ht="16.5" customHeight="1">
      <c r="A6" s="232"/>
      <c r="B6" s="44" t="s">
        <v>99</v>
      </c>
      <c r="C6" s="44">
        <v>5</v>
      </c>
      <c r="D6" s="47">
        <v>60</v>
      </c>
      <c r="E6" s="46">
        <f>D6/SUM(D2:D6)</f>
        <v>9.7087378640776698E-2</v>
      </c>
    </row>
    <row r="7" spans="1:5" ht="16.5" customHeight="1">
      <c r="A7" s="229" t="s">
        <v>46</v>
      </c>
      <c r="B7" s="44" t="s">
        <v>95</v>
      </c>
      <c r="C7" s="44">
        <v>1</v>
      </c>
      <c r="D7" s="47">
        <v>14</v>
      </c>
      <c r="E7" s="46">
        <f>D7/SUM(D7:D11)</f>
        <v>1.7834394904458598E-2</v>
      </c>
    </row>
    <row r="8" spans="1:5" ht="16.5" customHeight="1">
      <c r="A8" s="230"/>
      <c r="B8" s="44" t="s">
        <v>96</v>
      </c>
      <c r="C8" s="44">
        <v>2</v>
      </c>
      <c r="D8" s="47">
        <v>321</v>
      </c>
      <c r="E8" s="46">
        <f>D8/SUM(D7:D11)</f>
        <v>0.40891719745222932</v>
      </c>
    </row>
    <row r="9" spans="1:5" ht="16.5" customHeight="1">
      <c r="A9" s="230"/>
      <c r="B9" s="44" t="s">
        <v>97</v>
      </c>
      <c r="C9" s="44">
        <v>3</v>
      </c>
      <c r="D9" s="47">
        <v>8</v>
      </c>
      <c r="E9" s="46">
        <f>D9/SUM(D7:D11)</f>
        <v>1.019108280254777E-2</v>
      </c>
    </row>
    <row r="10" spans="1:5" ht="16.5" customHeight="1">
      <c r="A10" s="231"/>
      <c r="B10" s="44" t="s">
        <v>98</v>
      </c>
      <c r="C10" s="44">
        <v>4</v>
      </c>
      <c r="D10" s="47">
        <v>302</v>
      </c>
      <c r="E10" s="46">
        <f>D10/SUM(D7:D11)</f>
        <v>0.38471337579617837</v>
      </c>
    </row>
    <row r="11" spans="1:5" ht="16.5" customHeight="1">
      <c r="A11" s="232"/>
      <c r="B11" s="44" t="s">
        <v>99</v>
      </c>
      <c r="C11" s="44">
        <v>5</v>
      </c>
      <c r="D11" s="47">
        <v>140</v>
      </c>
      <c r="E11" s="46">
        <f>D11/SUM(D7:D11)</f>
        <v>0.17834394904458598</v>
      </c>
    </row>
    <row r="12" spans="1:5" ht="16.5" customHeight="1">
      <c r="A12" s="229" t="s">
        <v>47</v>
      </c>
      <c r="B12" s="44" t="s">
        <v>95</v>
      </c>
      <c r="C12" s="44">
        <v>1</v>
      </c>
      <c r="D12" s="47">
        <v>8</v>
      </c>
      <c r="E12" s="46">
        <f>D12/SUM(D12:D16)</f>
        <v>3.1746031746031744E-2</v>
      </c>
    </row>
    <row r="13" spans="1:5" ht="16.5" customHeight="1">
      <c r="A13" s="230"/>
      <c r="B13" s="44" t="s">
        <v>96</v>
      </c>
      <c r="C13" s="44">
        <v>2</v>
      </c>
      <c r="D13" s="47">
        <v>165</v>
      </c>
      <c r="E13" s="46">
        <f>D13/SUM(D12:D16)</f>
        <v>0.65476190476190477</v>
      </c>
    </row>
    <row r="14" spans="1:5" ht="16.5" customHeight="1">
      <c r="A14" s="230"/>
      <c r="B14" s="44" t="s">
        <v>97</v>
      </c>
      <c r="C14" s="44">
        <v>3</v>
      </c>
      <c r="D14" s="47">
        <v>0</v>
      </c>
      <c r="E14" s="46">
        <f>D14/SUM(D12:D16)</f>
        <v>0</v>
      </c>
    </row>
    <row r="15" spans="1:5" ht="16.5" customHeight="1">
      <c r="A15" s="231"/>
      <c r="B15" s="44" t="s">
        <v>98</v>
      </c>
      <c r="C15" s="44">
        <v>4</v>
      </c>
      <c r="D15" s="47">
        <v>28</v>
      </c>
      <c r="E15" s="46">
        <f>D15/SUM(D12:D16)</f>
        <v>0.1111111111111111</v>
      </c>
    </row>
    <row r="16" spans="1:5" ht="16.5" customHeight="1">
      <c r="A16" s="232"/>
      <c r="B16" s="44" t="s">
        <v>99</v>
      </c>
      <c r="C16" s="44">
        <v>5</v>
      </c>
      <c r="D16" s="47">
        <v>51</v>
      </c>
      <c r="E16" s="46">
        <f>D16/SUM(D12:D16)</f>
        <v>0.20238095238095238</v>
      </c>
    </row>
    <row r="17" spans="1:5" ht="16.5" customHeight="1">
      <c r="A17" s="229" t="s">
        <v>48</v>
      </c>
      <c r="B17" s="44" t="s">
        <v>95</v>
      </c>
      <c r="C17" s="44">
        <v>1</v>
      </c>
      <c r="D17" s="47">
        <v>8</v>
      </c>
      <c r="E17" s="46">
        <f>D17/SUM(D17:D21)</f>
        <v>1.3157894736842105E-2</v>
      </c>
    </row>
    <row r="18" spans="1:5" ht="16.5" customHeight="1">
      <c r="A18" s="230"/>
      <c r="B18" s="44" t="s">
        <v>96</v>
      </c>
      <c r="C18" s="44">
        <v>2</v>
      </c>
      <c r="D18" s="47">
        <v>168</v>
      </c>
      <c r="E18" s="46">
        <f>D18/SUM(D17:D21)</f>
        <v>0.27631578947368424</v>
      </c>
    </row>
    <row r="19" spans="1:5" ht="16.5" customHeight="1">
      <c r="A19" s="230"/>
      <c r="B19" s="44" t="s">
        <v>97</v>
      </c>
      <c r="C19" s="44">
        <v>3</v>
      </c>
      <c r="D19" s="47">
        <v>2</v>
      </c>
      <c r="E19" s="46">
        <f>D19/SUM(D17:D21)</f>
        <v>3.2894736842105261E-3</v>
      </c>
    </row>
    <row r="20" spans="1:5" ht="16.5" customHeight="1">
      <c r="A20" s="231"/>
      <c r="B20" s="44" t="s">
        <v>98</v>
      </c>
      <c r="C20" s="44">
        <v>4</v>
      </c>
      <c r="D20" s="47">
        <v>322</v>
      </c>
      <c r="E20" s="46">
        <f>D20/SUM(D17:D21)</f>
        <v>0.52960526315789469</v>
      </c>
    </row>
    <row r="21" spans="1:5" ht="16.5" customHeight="1">
      <c r="A21" s="232"/>
      <c r="B21" s="44" t="s">
        <v>99</v>
      </c>
      <c r="C21" s="44">
        <v>5</v>
      </c>
      <c r="D21" s="47">
        <v>108</v>
      </c>
      <c r="E21" s="46">
        <f>D21/SUM(D17:D21)</f>
        <v>0.17763157894736842</v>
      </c>
    </row>
    <row r="22" spans="1:5" ht="16.5" customHeight="1">
      <c r="A22" s="229" t="s">
        <v>49</v>
      </c>
      <c r="B22" s="44" t="s">
        <v>95</v>
      </c>
      <c r="C22" s="44">
        <v>1</v>
      </c>
      <c r="D22" s="47">
        <v>11</v>
      </c>
      <c r="E22" s="46">
        <f>D22/SUM(D22:D26)</f>
        <v>1.5714285714285715E-2</v>
      </c>
    </row>
    <row r="23" spans="1:5" ht="16.5" customHeight="1">
      <c r="A23" s="230"/>
      <c r="B23" s="44" t="s">
        <v>96</v>
      </c>
      <c r="C23" s="44">
        <v>2</v>
      </c>
      <c r="D23" s="47">
        <v>370</v>
      </c>
      <c r="E23" s="46">
        <f>D23/SUM(D22:D26)</f>
        <v>0.52857142857142858</v>
      </c>
    </row>
    <row r="24" spans="1:5" ht="16.5" customHeight="1">
      <c r="A24" s="230"/>
      <c r="B24" s="44" t="s">
        <v>97</v>
      </c>
      <c r="C24" s="44">
        <v>3</v>
      </c>
      <c r="D24" s="47">
        <v>5</v>
      </c>
      <c r="E24" s="46">
        <f>D24/SUM(D22:D26)</f>
        <v>7.1428571428571426E-3</v>
      </c>
    </row>
    <row r="25" spans="1:5" ht="16.5" customHeight="1">
      <c r="A25" s="231"/>
      <c r="B25" s="44" t="s">
        <v>98</v>
      </c>
      <c r="C25" s="44">
        <v>4</v>
      </c>
      <c r="D25" s="47">
        <v>138</v>
      </c>
      <c r="E25" s="46">
        <f>D25/SUM(D22:D26)</f>
        <v>0.19714285714285715</v>
      </c>
    </row>
    <row r="26" spans="1:5" ht="16.5" customHeight="1">
      <c r="A26" s="232"/>
      <c r="B26" s="44" t="s">
        <v>99</v>
      </c>
      <c r="C26" s="44">
        <v>5</v>
      </c>
      <c r="D26" s="47">
        <v>176</v>
      </c>
      <c r="E26" s="46">
        <f>D26/SUM(D22:D26)</f>
        <v>0.25142857142857145</v>
      </c>
    </row>
    <row r="27" spans="1:5" ht="16.5" customHeight="1">
      <c r="A27" s="229" t="s">
        <v>50</v>
      </c>
      <c r="B27" s="44" t="s">
        <v>95</v>
      </c>
      <c r="C27" s="44">
        <v>1</v>
      </c>
      <c r="D27" s="47">
        <v>8</v>
      </c>
      <c r="E27" s="46">
        <f>D27/SUM(D27:D31)</f>
        <v>1.3816925734024179E-2</v>
      </c>
    </row>
    <row r="28" spans="1:5" ht="16.5" customHeight="1">
      <c r="A28" s="230"/>
      <c r="B28" s="44" t="s">
        <v>96</v>
      </c>
      <c r="C28" s="44">
        <v>2</v>
      </c>
      <c r="D28" s="47">
        <v>313</v>
      </c>
      <c r="E28" s="46">
        <f>D28/SUM(D27:D31)</f>
        <v>0.54058721934369602</v>
      </c>
    </row>
    <row r="29" spans="1:5" ht="16.5" customHeight="1">
      <c r="A29" s="230"/>
      <c r="B29" s="44" t="s">
        <v>97</v>
      </c>
      <c r="C29" s="44">
        <v>3</v>
      </c>
      <c r="D29" s="47">
        <v>1</v>
      </c>
      <c r="E29" s="46">
        <f>D29/SUM(D27:D31)</f>
        <v>1.7271157167530224E-3</v>
      </c>
    </row>
    <row r="30" spans="1:5" ht="16.5" customHeight="1">
      <c r="A30" s="231"/>
      <c r="B30" s="44" t="s">
        <v>98</v>
      </c>
      <c r="C30" s="44">
        <v>4</v>
      </c>
      <c r="D30" s="47">
        <v>113</v>
      </c>
      <c r="E30" s="46">
        <f>D30/SUM(D27:D31)</f>
        <v>0.19516407599309155</v>
      </c>
    </row>
    <row r="31" spans="1:5" ht="16.5" customHeight="1">
      <c r="A31" s="232"/>
      <c r="B31" s="44" t="s">
        <v>99</v>
      </c>
      <c r="C31" s="44">
        <v>5</v>
      </c>
      <c r="D31" s="47">
        <v>144</v>
      </c>
      <c r="E31" s="46">
        <f>D31/SUM(D27:D31)</f>
        <v>0.24870466321243523</v>
      </c>
    </row>
  </sheetData>
  <mergeCells count="6">
    <mergeCell ref="A27:A31"/>
    <mergeCell ref="A2:A6"/>
    <mergeCell ref="A7:A11"/>
    <mergeCell ref="A12:A16"/>
    <mergeCell ref="A17:A21"/>
    <mergeCell ref="A22:A26"/>
  </mergeCells>
  <phoneticPr fontId="1" type="noConversion"/>
  <pageMargins left="0.75" right="0.75" top="1" bottom="1" header="0.5" footer="0.5"/>
  <pageSetup paperSize="9" firstPageNumber="0" fitToWidth="0" fitToHeight="0" orientation="portrait" horizontalDpi="300" verticalDpi="300" r:id="rId1"/>
  <headerFooter alignWithMargins="0"/>
  <ignoredErrors>
    <ignoredError sqref="E2:E3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5" t="s">
        <v>59</v>
      </c>
      <c r="B2" s="44" t="s">
        <v>95</v>
      </c>
      <c r="C2" s="44">
        <v>1</v>
      </c>
      <c r="D2" s="47">
        <v>30</v>
      </c>
      <c r="E2" s="46">
        <f>D2/SUM(D2:D6)</f>
        <v>2.9211295034079845E-2</v>
      </c>
    </row>
    <row r="3" spans="1:5" ht="16.5" customHeight="1">
      <c r="A3" s="226"/>
      <c r="B3" s="44" t="s">
        <v>96</v>
      </c>
      <c r="C3" s="44">
        <v>2</v>
      </c>
      <c r="D3" s="47">
        <v>558</v>
      </c>
      <c r="E3" s="46">
        <f>D3/SUM(D2:D6)</f>
        <v>0.54333008763388513</v>
      </c>
    </row>
    <row r="4" spans="1:5" ht="16.5" customHeight="1">
      <c r="A4" s="226"/>
      <c r="B4" s="44" t="s">
        <v>97</v>
      </c>
      <c r="C4" s="44">
        <v>3</v>
      </c>
      <c r="D4" s="47">
        <v>17</v>
      </c>
      <c r="E4" s="46">
        <f>D4/SUM(D2:D6)</f>
        <v>1.6553067185978577E-2</v>
      </c>
    </row>
    <row r="5" spans="1:5" ht="16.5" customHeight="1">
      <c r="A5" s="227"/>
      <c r="B5" s="44" t="s">
        <v>98</v>
      </c>
      <c r="C5" s="44">
        <v>4</v>
      </c>
      <c r="D5" s="47">
        <v>271</v>
      </c>
      <c r="E5" s="46">
        <f>D5/SUM(D2:D6)</f>
        <v>0.26387536514118792</v>
      </c>
    </row>
    <row r="6" spans="1:5" ht="16.5" customHeight="1">
      <c r="A6" s="228"/>
      <c r="B6" s="44" t="s">
        <v>99</v>
      </c>
      <c r="C6" s="44">
        <v>5</v>
      </c>
      <c r="D6" s="47">
        <v>151</v>
      </c>
      <c r="E6" s="46">
        <f>D6/SUM(D2:D6)</f>
        <v>0.14703018500486856</v>
      </c>
    </row>
    <row r="7" spans="1:5" ht="16.5" customHeight="1">
      <c r="A7" s="225" t="s">
        <v>60</v>
      </c>
      <c r="B7" s="44" t="s">
        <v>95</v>
      </c>
      <c r="C7" s="44">
        <v>1</v>
      </c>
      <c r="D7" s="47">
        <v>11</v>
      </c>
      <c r="E7" s="46">
        <f>D7/SUM(D7:D11)</f>
        <v>3.0985915492957747E-2</v>
      </c>
    </row>
    <row r="8" spans="1:5" ht="16.5" customHeight="1">
      <c r="A8" s="226"/>
      <c r="B8" s="44" t="s">
        <v>96</v>
      </c>
      <c r="C8" s="44">
        <v>2</v>
      </c>
      <c r="D8" s="47">
        <v>216</v>
      </c>
      <c r="E8" s="46">
        <f>D8/SUM(D7:D11)</f>
        <v>0.60845070422535208</v>
      </c>
    </row>
    <row r="9" spans="1:5" ht="16.5" customHeight="1">
      <c r="A9" s="226"/>
      <c r="B9" s="44" t="s">
        <v>97</v>
      </c>
      <c r="C9" s="44">
        <v>3</v>
      </c>
      <c r="D9" s="47">
        <v>6</v>
      </c>
      <c r="E9" s="46">
        <f>D9/SUM(D7:D11)</f>
        <v>1.6901408450704224E-2</v>
      </c>
    </row>
    <row r="10" spans="1:5" ht="16.5" customHeight="1">
      <c r="A10" s="227"/>
      <c r="B10" s="44" t="s">
        <v>98</v>
      </c>
      <c r="C10" s="44">
        <v>4</v>
      </c>
      <c r="D10" s="47">
        <v>40</v>
      </c>
      <c r="E10" s="46">
        <f>D10/SUM(D7:D11)</f>
        <v>0.11267605633802817</v>
      </c>
    </row>
    <row r="11" spans="1:5" ht="16.5" customHeight="1">
      <c r="A11" s="228"/>
      <c r="B11" s="44" t="s">
        <v>99</v>
      </c>
      <c r="C11" s="44">
        <v>5</v>
      </c>
      <c r="D11" s="47">
        <v>82</v>
      </c>
      <c r="E11" s="46">
        <f>D11/SUM(D7:D11)</f>
        <v>0.23098591549295774</v>
      </c>
    </row>
    <row r="12" spans="1:5" ht="16.5" customHeight="1">
      <c r="A12" s="225" t="s">
        <v>61</v>
      </c>
      <c r="B12" s="44" t="s">
        <v>95</v>
      </c>
      <c r="C12" s="44">
        <v>1</v>
      </c>
      <c r="D12" s="47">
        <v>12</v>
      </c>
      <c r="E12" s="46">
        <f>D12/SUM(D12:D16)</f>
        <v>5.106382978723404E-2</v>
      </c>
    </row>
    <row r="13" spans="1:5" ht="16.5" customHeight="1">
      <c r="A13" s="226"/>
      <c r="B13" s="44" t="s">
        <v>96</v>
      </c>
      <c r="C13" s="44">
        <v>2</v>
      </c>
      <c r="D13" s="47">
        <v>120</v>
      </c>
      <c r="E13" s="46">
        <f>D13/SUM(D12:D16)</f>
        <v>0.51063829787234039</v>
      </c>
    </row>
    <row r="14" spans="1:5" ht="16.5" customHeight="1">
      <c r="A14" s="226"/>
      <c r="B14" s="44" t="s">
        <v>97</v>
      </c>
      <c r="C14" s="44">
        <v>3</v>
      </c>
      <c r="D14" s="47">
        <v>2</v>
      </c>
      <c r="E14" s="46">
        <f>D14/SUM(D12:D16)</f>
        <v>8.5106382978723406E-3</v>
      </c>
    </row>
    <row r="15" spans="1:5" ht="16.5" customHeight="1">
      <c r="A15" s="227"/>
      <c r="B15" s="44" t="s">
        <v>98</v>
      </c>
      <c r="C15" s="44">
        <v>4</v>
      </c>
      <c r="D15" s="47">
        <v>26</v>
      </c>
      <c r="E15" s="46">
        <f>D15/SUM(D12:D16)</f>
        <v>0.11063829787234042</v>
      </c>
    </row>
    <row r="16" spans="1:5" ht="16.5" customHeight="1">
      <c r="A16" s="228"/>
      <c r="B16" s="44" t="s">
        <v>99</v>
      </c>
      <c r="C16" s="44">
        <v>5</v>
      </c>
      <c r="D16" s="47">
        <v>75</v>
      </c>
      <c r="E16" s="46">
        <f>D16/SUM(D12:D16)</f>
        <v>0.31914893617021278</v>
      </c>
    </row>
    <row r="17" spans="1:5" ht="16.5" customHeight="1">
      <c r="A17" s="225" t="s">
        <v>62</v>
      </c>
      <c r="B17" s="44" t="s">
        <v>95</v>
      </c>
      <c r="C17" s="44">
        <v>1</v>
      </c>
      <c r="D17" s="47">
        <v>8</v>
      </c>
      <c r="E17" s="46">
        <f>D17/SUM(D17:D21)</f>
        <v>2.0618556701030927E-2</v>
      </c>
    </row>
    <row r="18" spans="1:5" ht="16.5" customHeight="1">
      <c r="A18" s="226"/>
      <c r="B18" s="44" t="s">
        <v>96</v>
      </c>
      <c r="C18" s="44">
        <v>2</v>
      </c>
      <c r="D18" s="47">
        <v>199</v>
      </c>
      <c r="E18" s="46">
        <f>D18/SUM(D17:D21)</f>
        <v>0.51288659793814428</v>
      </c>
    </row>
    <row r="19" spans="1:5" ht="16.5" customHeight="1">
      <c r="A19" s="226"/>
      <c r="B19" s="44" t="s">
        <v>97</v>
      </c>
      <c r="C19" s="44">
        <v>3</v>
      </c>
      <c r="D19" s="47">
        <v>13</v>
      </c>
      <c r="E19" s="46">
        <f>D19/SUM(D17:D21)</f>
        <v>3.3505154639175257E-2</v>
      </c>
    </row>
    <row r="20" spans="1:5" ht="16.5" customHeight="1">
      <c r="A20" s="227"/>
      <c r="B20" s="44" t="s">
        <v>98</v>
      </c>
      <c r="C20" s="44">
        <v>4</v>
      </c>
      <c r="D20" s="47">
        <v>43</v>
      </c>
      <c r="E20" s="46">
        <f>D20/SUM(D17:D21)</f>
        <v>0.11082474226804123</v>
      </c>
    </row>
    <row r="21" spans="1:5" ht="16.5" customHeight="1">
      <c r="A21" s="228"/>
      <c r="B21" s="44" t="s">
        <v>99</v>
      </c>
      <c r="C21" s="44">
        <v>5</v>
      </c>
      <c r="D21" s="47">
        <v>125</v>
      </c>
      <c r="E21" s="46">
        <f>D21/SUM(D17:D21)</f>
        <v>0.32216494845360827</v>
      </c>
    </row>
    <row r="22" spans="1:5" ht="16.5" customHeight="1">
      <c r="A22" s="225" t="s">
        <v>63</v>
      </c>
      <c r="B22" s="44" t="s">
        <v>95</v>
      </c>
      <c r="C22" s="44">
        <v>1</v>
      </c>
      <c r="D22" s="47">
        <v>14</v>
      </c>
      <c r="E22" s="46">
        <f>D22/SUM(D22:D26)</f>
        <v>3.255813953488372E-2</v>
      </c>
    </row>
    <row r="23" spans="1:5" ht="16.5" customHeight="1">
      <c r="A23" s="226"/>
      <c r="B23" s="44" t="s">
        <v>96</v>
      </c>
      <c r="C23" s="44">
        <v>2</v>
      </c>
      <c r="D23" s="47">
        <v>166</v>
      </c>
      <c r="E23" s="46">
        <f>D23/SUM(D22:D26)</f>
        <v>0.38604651162790699</v>
      </c>
    </row>
    <row r="24" spans="1:5" ht="16.5" customHeight="1">
      <c r="A24" s="226"/>
      <c r="B24" s="44" t="s">
        <v>97</v>
      </c>
      <c r="C24" s="44">
        <v>3</v>
      </c>
      <c r="D24" s="47">
        <v>6</v>
      </c>
      <c r="E24" s="46">
        <f>D24/SUM(D22:D26)</f>
        <v>1.3953488372093023E-2</v>
      </c>
    </row>
    <row r="25" spans="1:5" ht="16.5" customHeight="1">
      <c r="A25" s="226"/>
      <c r="B25" s="44" t="s">
        <v>98</v>
      </c>
      <c r="C25" s="44">
        <v>4</v>
      </c>
      <c r="D25" s="47">
        <v>70</v>
      </c>
      <c r="E25" s="46">
        <f>D25/SUM(D22:D26)</f>
        <v>0.16279069767441862</v>
      </c>
    </row>
    <row r="26" spans="1:5" ht="16.5" customHeight="1">
      <c r="A26" s="233"/>
      <c r="B26" s="44" t="s">
        <v>99</v>
      </c>
      <c r="C26" s="44">
        <v>5</v>
      </c>
      <c r="D26" s="47">
        <v>174</v>
      </c>
      <c r="E26" s="46">
        <f>D26/SUM(D22:D26)</f>
        <v>0.40465116279069768</v>
      </c>
    </row>
    <row r="27" spans="1:5" ht="16.5" customHeight="1">
      <c r="A27" s="225" t="s">
        <v>64</v>
      </c>
      <c r="B27" s="44" t="s">
        <v>95</v>
      </c>
      <c r="C27" s="44">
        <v>1</v>
      </c>
      <c r="D27" s="47">
        <v>8</v>
      </c>
      <c r="E27" s="46">
        <f>D27/SUM(D27:D31)</f>
        <v>2.7777777777777776E-2</v>
      </c>
    </row>
    <row r="28" spans="1:5" ht="16.5" customHeight="1">
      <c r="A28" s="226"/>
      <c r="B28" s="44" t="s">
        <v>96</v>
      </c>
      <c r="C28" s="44">
        <v>2</v>
      </c>
      <c r="D28" s="47">
        <v>136</v>
      </c>
      <c r="E28" s="46">
        <f>D28/SUM(D27:D31)</f>
        <v>0.47222222222222221</v>
      </c>
    </row>
    <row r="29" spans="1:5" ht="16.5" customHeight="1">
      <c r="A29" s="226"/>
      <c r="B29" s="44" t="s">
        <v>97</v>
      </c>
      <c r="C29" s="44">
        <v>3</v>
      </c>
      <c r="D29" s="47">
        <v>9</v>
      </c>
      <c r="E29" s="46">
        <f>D29/SUM(D27:D31)</f>
        <v>3.125E-2</v>
      </c>
    </row>
    <row r="30" spans="1:5" ht="16.5" customHeight="1">
      <c r="A30" s="227"/>
      <c r="B30" s="44" t="s">
        <v>98</v>
      </c>
      <c r="C30" s="44">
        <v>4</v>
      </c>
      <c r="D30" s="47">
        <v>53</v>
      </c>
      <c r="E30" s="46">
        <f>D30/SUM(D27:D31)</f>
        <v>0.18402777777777779</v>
      </c>
    </row>
    <row r="31" spans="1:5" ht="16.5" customHeight="1">
      <c r="A31" s="228"/>
      <c r="B31" s="44" t="s">
        <v>99</v>
      </c>
      <c r="C31" s="44">
        <v>5</v>
      </c>
      <c r="D31" s="47">
        <v>82</v>
      </c>
      <c r="E31" s="46">
        <f>D31/SUM(D27:D31)</f>
        <v>0.28472222222222221</v>
      </c>
    </row>
    <row r="32" spans="1:5" ht="16.5" customHeight="1">
      <c r="A32" s="225" t="s">
        <v>65</v>
      </c>
      <c r="B32" s="44" t="s">
        <v>95</v>
      </c>
      <c r="C32" s="44">
        <v>1</v>
      </c>
      <c r="D32" s="47">
        <v>1</v>
      </c>
      <c r="E32" s="46">
        <f>D32/SUM(D32:D36)</f>
        <v>3.0120481927710845E-3</v>
      </c>
    </row>
    <row r="33" spans="1:5" ht="16.5" customHeight="1">
      <c r="A33" s="226"/>
      <c r="B33" s="44" t="s">
        <v>96</v>
      </c>
      <c r="C33" s="44">
        <v>2</v>
      </c>
      <c r="D33" s="47">
        <v>73</v>
      </c>
      <c r="E33" s="46">
        <f>D33/SUM(D32:D36)</f>
        <v>0.21987951807228914</v>
      </c>
    </row>
    <row r="34" spans="1:5" ht="16.5" customHeight="1">
      <c r="A34" s="226"/>
      <c r="B34" s="44" t="s">
        <v>97</v>
      </c>
      <c r="C34" s="44">
        <v>3</v>
      </c>
      <c r="D34" s="47">
        <v>2</v>
      </c>
      <c r="E34" s="46">
        <f>D34/SUM(D32:D36)</f>
        <v>6.024096385542169E-3</v>
      </c>
    </row>
    <row r="35" spans="1:5" ht="16.5" customHeight="1">
      <c r="A35" s="227"/>
      <c r="B35" s="44" t="s">
        <v>98</v>
      </c>
      <c r="C35" s="44">
        <v>4</v>
      </c>
      <c r="D35" s="47">
        <v>196</v>
      </c>
      <c r="E35" s="46">
        <f>D35/SUM(D32:D36)</f>
        <v>0.59036144578313254</v>
      </c>
    </row>
    <row r="36" spans="1:5" ht="16.5" customHeight="1">
      <c r="A36" s="228"/>
      <c r="B36" s="44" t="s">
        <v>99</v>
      </c>
      <c r="C36" s="44">
        <v>5</v>
      </c>
      <c r="D36" s="47">
        <v>60</v>
      </c>
      <c r="E36" s="46">
        <f>D36/SUM(D32:D36)</f>
        <v>0.18072289156626506</v>
      </c>
    </row>
    <row r="37" spans="1:5" ht="16.5" customHeight="1">
      <c r="A37" s="225" t="s">
        <v>66</v>
      </c>
      <c r="B37" s="44" t="s">
        <v>95</v>
      </c>
      <c r="C37" s="44">
        <v>1</v>
      </c>
      <c r="D37" s="47">
        <v>9</v>
      </c>
      <c r="E37" s="46">
        <f>D37/SUM(D37:D41)</f>
        <v>2.0501138952164009E-2</v>
      </c>
    </row>
    <row r="38" spans="1:5" ht="16.5" customHeight="1">
      <c r="A38" s="226"/>
      <c r="B38" s="44" t="s">
        <v>96</v>
      </c>
      <c r="C38" s="44">
        <v>2</v>
      </c>
      <c r="D38" s="47">
        <v>243</v>
      </c>
      <c r="E38" s="46">
        <f>D38/SUM(D37:D41)</f>
        <v>0.55353075170842825</v>
      </c>
    </row>
    <row r="39" spans="1:5" ht="16.5" customHeight="1">
      <c r="A39" s="226"/>
      <c r="B39" s="44" t="s">
        <v>97</v>
      </c>
      <c r="C39" s="44">
        <v>3</v>
      </c>
      <c r="D39" s="47">
        <v>5</v>
      </c>
      <c r="E39" s="46">
        <f>D39/SUM(D37:D41)</f>
        <v>1.1389521640091117E-2</v>
      </c>
    </row>
    <row r="40" spans="1:5" ht="16.5" customHeight="1">
      <c r="A40" s="227"/>
      <c r="B40" s="44" t="s">
        <v>98</v>
      </c>
      <c r="C40" s="44">
        <v>4</v>
      </c>
      <c r="D40" s="47">
        <v>89</v>
      </c>
      <c r="E40" s="46">
        <f>D40/SUM(D37:D41)</f>
        <v>0.20273348519362186</v>
      </c>
    </row>
    <row r="41" spans="1:5" ht="16.5" customHeight="1">
      <c r="A41" s="228"/>
      <c r="B41" s="44" t="s">
        <v>99</v>
      </c>
      <c r="C41" s="44">
        <v>5</v>
      </c>
      <c r="D41" s="47">
        <v>93</v>
      </c>
      <c r="E41" s="46">
        <f>D41/SUM(D37:D41)</f>
        <v>0.21184510250569477</v>
      </c>
    </row>
  </sheetData>
  <mergeCells count="8">
    <mergeCell ref="A27:A31"/>
    <mergeCell ref="A32:A36"/>
    <mergeCell ref="A37:A41"/>
    <mergeCell ref="A2:A6"/>
    <mergeCell ref="A7:A11"/>
    <mergeCell ref="A12:A16"/>
    <mergeCell ref="A17:A21"/>
    <mergeCell ref="A22:A26"/>
  </mergeCells>
  <phoneticPr fontId="1" type="noConversion"/>
  <pageMargins left="0.75" right="0.75" top="1" bottom="1" header="0.5" footer="0.5"/>
  <pageSetup paperSize="9" firstPageNumber="0" fitToWidth="0" fitToHeight="0" orientation="portrait" horizontalDpi="300" verticalDpi="300" r:id="rId1"/>
  <headerFooter alignWithMargins="0"/>
  <ignoredErrors>
    <ignoredError sqref="E2:E4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opLeftCell="A22"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5" t="s">
        <v>51</v>
      </c>
      <c r="B2" s="44" t="s">
        <v>95</v>
      </c>
      <c r="C2" s="44">
        <v>1</v>
      </c>
      <c r="D2" s="47">
        <v>22</v>
      </c>
      <c r="E2" s="46">
        <f>D2/SUM(D2:D6)</f>
        <v>2.109300095877277E-2</v>
      </c>
    </row>
    <row r="3" spans="1:5" ht="16.5" customHeight="1">
      <c r="A3" s="226"/>
      <c r="B3" s="44" t="s">
        <v>96</v>
      </c>
      <c r="C3" s="44">
        <v>2</v>
      </c>
      <c r="D3" s="47">
        <v>595</v>
      </c>
      <c r="E3" s="46">
        <f>D3/SUM(D2:D6)</f>
        <v>0.57046979865771807</v>
      </c>
    </row>
    <row r="4" spans="1:5" ht="16.5" customHeight="1">
      <c r="A4" s="226"/>
      <c r="B4" s="44" t="s">
        <v>97</v>
      </c>
      <c r="C4" s="44">
        <v>3</v>
      </c>
      <c r="D4" s="47">
        <v>14</v>
      </c>
      <c r="E4" s="46">
        <f>D4/SUM(D2:D6)</f>
        <v>1.3422818791946308E-2</v>
      </c>
    </row>
    <row r="5" spans="1:5" ht="16.5" customHeight="1">
      <c r="A5" s="227"/>
      <c r="B5" s="44" t="s">
        <v>98</v>
      </c>
      <c r="C5" s="44">
        <v>4</v>
      </c>
      <c r="D5" s="47">
        <v>244</v>
      </c>
      <c r="E5" s="46">
        <f>D5/SUM(D2:D6)</f>
        <v>0.2339405560882071</v>
      </c>
    </row>
    <row r="6" spans="1:5" ht="16.5" customHeight="1">
      <c r="A6" s="228"/>
      <c r="B6" s="44" t="s">
        <v>99</v>
      </c>
      <c r="C6" s="44">
        <v>5</v>
      </c>
      <c r="D6" s="47">
        <v>168</v>
      </c>
      <c r="E6" s="46">
        <f>D6/SUM(D2:D6)</f>
        <v>0.16107382550335569</v>
      </c>
    </row>
    <row r="7" spans="1:5" ht="16.5" customHeight="1">
      <c r="A7" s="225" t="s">
        <v>52</v>
      </c>
      <c r="B7" s="44" t="s">
        <v>95</v>
      </c>
      <c r="C7" s="44">
        <v>1</v>
      </c>
      <c r="D7" s="47">
        <v>24</v>
      </c>
      <c r="E7" s="46">
        <f>D7/SUM(D7:D11)</f>
        <v>3.2476319350473612E-2</v>
      </c>
    </row>
    <row r="8" spans="1:5" ht="16.5" customHeight="1">
      <c r="A8" s="226"/>
      <c r="B8" s="44" t="s">
        <v>96</v>
      </c>
      <c r="C8" s="44">
        <v>2</v>
      </c>
      <c r="D8" s="47">
        <v>381</v>
      </c>
      <c r="E8" s="46">
        <f>D8/SUM(D7:D11)</f>
        <v>0.51556156968876865</v>
      </c>
    </row>
    <row r="9" spans="1:5" ht="16.5" customHeight="1">
      <c r="A9" s="226"/>
      <c r="B9" s="44" t="s">
        <v>97</v>
      </c>
      <c r="C9" s="44">
        <v>3</v>
      </c>
      <c r="D9" s="47">
        <v>7</v>
      </c>
      <c r="E9" s="46">
        <f>D9/SUM(D7:D11)</f>
        <v>9.4722598105548041E-3</v>
      </c>
    </row>
    <row r="10" spans="1:5" ht="16.5" customHeight="1">
      <c r="A10" s="227"/>
      <c r="B10" s="44" t="s">
        <v>98</v>
      </c>
      <c r="C10" s="44">
        <v>4</v>
      </c>
      <c r="D10" s="47">
        <v>125</v>
      </c>
      <c r="E10" s="46">
        <f>D10/SUM(D7:D11)</f>
        <v>0.16914749661705006</v>
      </c>
    </row>
    <row r="11" spans="1:5" ht="16.5" customHeight="1">
      <c r="A11" s="228"/>
      <c r="B11" s="44" t="s">
        <v>99</v>
      </c>
      <c r="C11" s="44">
        <v>5</v>
      </c>
      <c r="D11" s="47">
        <v>202</v>
      </c>
      <c r="E11" s="46">
        <f>D11/SUM(D7:D11)</f>
        <v>0.27334235453315292</v>
      </c>
    </row>
    <row r="12" spans="1:5" ht="16.5" customHeight="1">
      <c r="A12" s="225" t="s">
        <v>53</v>
      </c>
      <c r="B12" s="44" t="s">
        <v>95</v>
      </c>
      <c r="C12" s="44">
        <v>1</v>
      </c>
      <c r="D12" s="47">
        <v>15</v>
      </c>
      <c r="E12" s="46">
        <f>D12/SUM(D12:D16)</f>
        <v>2.9069767441860465E-2</v>
      </c>
    </row>
    <row r="13" spans="1:5" ht="16.5" customHeight="1">
      <c r="A13" s="226"/>
      <c r="B13" s="44" t="s">
        <v>96</v>
      </c>
      <c r="C13" s="44">
        <v>2</v>
      </c>
      <c r="D13" s="47">
        <v>237</v>
      </c>
      <c r="E13" s="46">
        <f>D13/SUM(D12:D16)</f>
        <v>0.45930232558139533</v>
      </c>
    </row>
    <row r="14" spans="1:5" ht="16.5" customHeight="1">
      <c r="A14" s="226"/>
      <c r="B14" s="44" t="s">
        <v>97</v>
      </c>
      <c r="C14" s="44">
        <v>3</v>
      </c>
      <c r="D14" s="47">
        <v>14</v>
      </c>
      <c r="E14" s="46">
        <f>D14/SUM(D12:D16)</f>
        <v>2.7131782945736434E-2</v>
      </c>
    </row>
    <row r="15" spans="1:5" ht="16.5" customHeight="1">
      <c r="A15" s="227"/>
      <c r="B15" s="44" t="s">
        <v>98</v>
      </c>
      <c r="C15" s="44">
        <v>4</v>
      </c>
      <c r="D15" s="47">
        <v>89</v>
      </c>
      <c r="E15" s="46">
        <f>D15/SUM(D12:D16)</f>
        <v>0.17248062015503876</v>
      </c>
    </row>
    <row r="16" spans="1:5" ht="16.5" customHeight="1">
      <c r="A16" s="228"/>
      <c r="B16" s="44" t="s">
        <v>99</v>
      </c>
      <c r="C16" s="44">
        <v>5</v>
      </c>
      <c r="D16" s="47">
        <v>161</v>
      </c>
      <c r="E16" s="46">
        <f>D16/SUM(D12:D16)</f>
        <v>0.31201550387596899</v>
      </c>
    </row>
    <row r="17" spans="1:5" ht="16.5" customHeight="1">
      <c r="A17" s="225" t="s">
        <v>54</v>
      </c>
      <c r="B17" s="44" t="s">
        <v>95</v>
      </c>
      <c r="C17" s="44">
        <v>1</v>
      </c>
      <c r="D17" s="47">
        <v>10</v>
      </c>
      <c r="E17" s="46">
        <f>D17/SUM(D17:D21)</f>
        <v>3.1645569620253167E-2</v>
      </c>
    </row>
    <row r="18" spans="1:5" ht="16.5" customHeight="1">
      <c r="A18" s="226"/>
      <c r="B18" s="44" t="s">
        <v>96</v>
      </c>
      <c r="C18" s="44">
        <v>2</v>
      </c>
      <c r="D18" s="47">
        <v>193</v>
      </c>
      <c r="E18" s="46">
        <f>D18/SUM(D17:D21)</f>
        <v>0.61075949367088611</v>
      </c>
    </row>
    <row r="19" spans="1:5" ht="16.5" customHeight="1">
      <c r="A19" s="226"/>
      <c r="B19" s="44" t="s">
        <v>97</v>
      </c>
      <c r="C19" s="44">
        <v>3</v>
      </c>
      <c r="D19" s="47">
        <v>6</v>
      </c>
      <c r="E19" s="46">
        <f>D19/SUM(D17:D21)</f>
        <v>1.8987341772151899E-2</v>
      </c>
    </row>
    <row r="20" spans="1:5" ht="16.5" customHeight="1">
      <c r="A20" s="227"/>
      <c r="B20" s="44" t="s">
        <v>98</v>
      </c>
      <c r="C20" s="44">
        <v>4</v>
      </c>
      <c r="D20" s="47">
        <v>45</v>
      </c>
      <c r="E20" s="46">
        <f>D20/SUM(D17:D21)</f>
        <v>0.14240506329113925</v>
      </c>
    </row>
    <row r="21" spans="1:5" ht="16.5" customHeight="1">
      <c r="A21" s="228"/>
      <c r="B21" s="44" t="s">
        <v>99</v>
      </c>
      <c r="C21" s="44">
        <v>5</v>
      </c>
      <c r="D21" s="47">
        <v>62</v>
      </c>
      <c r="E21" s="46">
        <f>D21/SUM(D17:D21)</f>
        <v>0.19620253164556961</v>
      </c>
    </row>
    <row r="22" spans="1:5" ht="16.5" customHeight="1">
      <c r="A22" s="225" t="s">
        <v>55</v>
      </c>
      <c r="B22" s="44" t="s">
        <v>95</v>
      </c>
      <c r="C22" s="44">
        <v>1</v>
      </c>
      <c r="D22" s="47">
        <v>19</v>
      </c>
      <c r="E22" s="46">
        <f>D22/SUM(D22:D26)</f>
        <v>2.8963414634146343E-2</v>
      </c>
    </row>
    <row r="23" spans="1:5" ht="16.5" customHeight="1">
      <c r="A23" s="226"/>
      <c r="B23" s="44" t="s">
        <v>96</v>
      </c>
      <c r="C23" s="44">
        <v>2</v>
      </c>
      <c r="D23" s="47">
        <v>321</v>
      </c>
      <c r="E23" s="46">
        <f>D23/SUM(D22:D26)</f>
        <v>0.48932926829268292</v>
      </c>
    </row>
    <row r="24" spans="1:5" ht="16.5" customHeight="1">
      <c r="A24" s="226"/>
      <c r="B24" s="44" t="s">
        <v>97</v>
      </c>
      <c r="C24" s="44">
        <v>3</v>
      </c>
      <c r="D24" s="47">
        <v>8</v>
      </c>
      <c r="E24" s="46">
        <f>D24/SUM(D22:D26)</f>
        <v>1.2195121951219513E-2</v>
      </c>
    </row>
    <row r="25" spans="1:5" ht="16.5" customHeight="1">
      <c r="A25" s="226"/>
      <c r="B25" s="44" t="s">
        <v>98</v>
      </c>
      <c r="C25" s="44">
        <v>4</v>
      </c>
      <c r="D25" s="47">
        <v>167</v>
      </c>
      <c r="E25" s="46">
        <f>D25/SUM(D22:D26)</f>
        <v>0.25457317073170732</v>
      </c>
    </row>
    <row r="26" spans="1:5" ht="16.5" customHeight="1">
      <c r="A26" s="233"/>
      <c r="B26" s="44" t="s">
        <v>99</v>
      </c>
      <c r="C26" s="44">
        <v>5</v>
      </c>
      <c r="D26" s="47">
        <v>141</v>
      </c>
      <c r="E26" s="46">
        <f>D26/SUM(D22:D26)</f>
        <v>0.2149390243902439</v>
      </c>
    </row>
    <row r="27" spans="1:5" ht="16.5" customHeight="1">
      <c r="A27" s="225" t="s">
        <v>56</v>
      </c>
      <c r="B27" s="44" t="s">
        <v>95</v>
      </c>
      <c r="C27" s="44">
        <v>1</v>
      </c>
      <c r="D27" s="47">
        <v>25</v>
      </c>
      <c r="E27" s="46">
        <f>D27/SUM(D27:D31)</f>
        <v>3.551136363636364E-2</v>
      </c>
    </row>
    <row r="28" spans="1:5" ht="16.5" customHeight="1">
      <c r="A28" s="226"/>
      <c r="B28" s="44" t="s">
        <v>96</v>
      </c>
      <c r="C28" s="44">
        <v>2</v>
      </c>
      <c r="D28" s="47">
        <v>348</v>
      </c>
      <c r="E28" s="46">
        <f>D28/SUM(D27:D31)</f>
        <v>0.49431818181818182</v>
      </c>
    </row>
    <row r="29" spans="1:5" ht="16.5" customHeight="1">
      <c r="A29" s="226"/>
      <c r="B29" s="44" t="s">
        <v>97</v>
      </c>
      <c r="C29" s="44">
        <v>3</v>
      </c>
      <c r="D29" s="47">
        <v>16</v>
      </c>
      <c r="E29" s="46">
        <f>D29/SUM(D27:D31)</f>
        <v>2.2727272727272728E-2</v>
      </c>
    </row>
    <row r="30" spans="1:5" ht="16.5" customHeight="1">
      <c r="A30" s="227"/>
      <c r="B30" s="44" t="s">
        <v>98</v>
      </c>
      <c r="C30" s="44">
        <v>4</v>
      </c>
      <c r="D30" s="47">
        <v>104</v>
      </c>
      <c r="E30" s="46">
        <f>D30/SUM(D27:D31)</f>
        <v>0.14772727272727273</v>
      </c>
    </row>
    <row r="31" spans="1:5" ht="16.5" customHeight="1">
      <c r="A31" s="228"/>
      <c r="B31" s="44" t="s">
        <v>99</v>
      </c>
      <c r="C31" s="44">
        <v>5</v>
      </c>
      <c r="D31" s="47">
        <v>211</v>
      </c>
      <c r="E31" s="46">
        <f>D31/SUM(D27:D31)</f>
        <v>0.29971590909090912</v>
      </c>
    </row>
    <row r="32" spans="1:5" ht="16.5" customHeight="1">
      <c r="A32" s="225" t="s">
        <v>57</v>
      </c>
      <c r="B32" s="44" t="s">
        <v>95</v>
      </c>
      <c r="C32" s="44">
        <v>1</v>
      </c>
      <c r="D32" s="47">
        <v>15</v>
      </c>
      <c r="E32" s="46">
        <f>D32/SUM(D32:D36)</f>
        <v>4.6296296296296294E-2</v>
      </c>
    </row>
    <row r="33" spans="1:5" ht="16.5" customHeight="1">
      <c r="A33" s="226"/>
      <c r="B33" s="44" t="s">
        <v>96</v>
      </c>
      <c r="C33" s="44">
        <v>2</v>
      </c>
      <c r="D33" s="47">
        <v>157</v>
      </c>
      <c r="E33" s="46">
        <f>D33/SUM(D32:D36)</f>
        <v>0.48456790123456789</v>
      </c>
    </row>
    <row r="34" spans="1:5" ht="16.5" customHeight="1">
      <c r="A34" s="226"/>
      <c r="B34" s="44" t="s">
        <v>97</v>
      </c>
      <c r="C34" s="44">
        <v>3</v>
      </c>
      <c r="D34" s="47">
        <v>5</v>
      </c>
      <c r="E34" s="46">
        <f>D34/SUM(D32:D36)</f>
        <v>1.5432098765432098E-2</v>
      </c>
    </row>
    <row r="35" spans="1:5" ht="16.5" customHeight="1">
      <c r="A35" s="227"/>
      <c r="B35" s="44" t="s">
        <v>98</v>
      </c>
      <c r="C35" s="44">
        <v>4</v>
      </c>
      <c r="D35" s="47">
        <v>62</v>
      </c>
      <c r="E35" s="46">
        <f>D35/SUM(D32:D36)</f>
        <v>0.19135802469135801</v>
      </c>
    </row>
    <row r="36" spans="1:5" ht="16.5" customHeight="1">
      <c r="A36" s="228"/>
      <c r="B36" s="44" t="s">
        <v>99</v>
      </c>
      <c r="C36" s="44">
        <v>5</v>
      </c>
      <c r="D36" s="47">
        <v>85</v>
      </c>
      <c r="E36" s="46">
        <f>D36/SUM(D32:D36)</f>
        <v>0.26234567901234568</v>
      </c>
    </row>
    <row r="37" spans="1:5" ht="16.5" customHeight="1">
      <c r="A37" s="225" t="s">
        <v>58</v>
      </c>
      <c r="B37" s="44" t="s">
        <v>95</v>
      </c>
      <c r="C37" s="44">
        <v>1</v>
      </c>
      <c r="D37" s="47">
        <v>2</v>
      </c>
      <c r="E37" s="46">
        <f>D37/SUM(D37:D41)</f>
        <v>6.4308681672025723E-3</v>
      </c>
    </row>
    <row r="38" spans="1:5" ht="16.5" customHeight="1">
      <c r="A38" s="226"/>
      <c r="B38" s="44" t="s">
        <v>96</v>
      </c>
      <c r="C38" s="44">
        <v>2</v>
      </c>
      <c r="D38" s="47">
        <v>121</v>
      </c>
      <c r="E38" s="46">
        <f>D38/SUM(D37:D41)</f>
        <v>0.38906752411575563</v>
      </c>
    </row>
    <row r="39" spans="1:5" ht="16.5" customHeight="1">
      <c r="A39" s="226"/>
      <c r="B39" s="44" t="s">
        <v>97</v>
      </c>
      <c r="C39" s="44">
        <v>3</v>
      </c>
      <c r="D39" s="47">
        <v>8</v>
      </c>
      <c r="E39" s="46">
        <f>D39/SUM(D37:D41)</f>
        <v>2.5723472668810289E-2</v>
      </c>
    </row>
    <row r="40" spans="1:5" ht="16.5" customHeight="1">
      <c r="A40" s="227"/>
      <c r="B40" s="44" t="s">
        <v>98</v>
      </c>
      <c r="C40" s="44">
        <v>4</v>
      </c>
      <c r="D40" s="47">
        <v>89</v>
      </c>
      <c r="E40" s="46">
        <f>D40/SUM(D37:D41)</f>
        <v>0.2861736334405145</v>
      </c>
    </row>
    <row r="41" spans="1:5" ht="16.5" customHeight="1">
      <c r="A41" s="228"/>
      <c r="B41" s="44" t="s">
        <v>99</v>
      </c>
      <c r="C41" s="44">
        <v>5</v>
      </c>
      <c r="D41" s="47">
        <v>91</v>
      </c>
      <c r="E41" s="46">
        <f>D41/SUM(D37:D41)</f>
        <v>0.29260450160771706</v>
      </c>
    </row>
  </sheetData>
  <mergeCells count="8">
    <mergeCell ref="A27:A31"/>
    <mergeCell ref="A32:A36"/>
    <mergeCell ref="A37:A41"/>
    <mergeCell ref="A2:A6"/>
    <mergeCell ref="A7:A11"/>
    <mergeCell ref="A12:A16"/>
    <mergeCell ref="A17:A21"/>
    <mergeCell ref="A22:A26"/>
  </mergeCells>
  <phoneticPr fontId="1" type="noConversion"/>
  <pageMargins left="0.75" right="0.75" top="1" bottom="1" header="0.5" footer="0.5"/>
  <pageSetup paperSize="9" firstPageNumber="0" fitToWidth="0" fitToHeight="0" orientation="portrait" horizontalDpi="300" verticalDpi="300" r:id="rId1"/>
  <headerFooter alignWithMargins="0"/>
  <ignoredErrors>
    <ignoredError sqref="E2:E41"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5" t="s">
        <v>67</v>
      </c>
      <c r="B2" s="44" t="s">
        <v>95</v>
      </c>
      <c r="C2" s="44">
        <v>1</v>
      </c>
      <c r="D2" s="47">
        <v>9</v>
      </c>
      <c r="E2" s="46">
        <f>D2/SUM(D2:D6)</f>
        <v>1.8442622950819672E-2</v>
      </c>
    </row>
    <row r="3" spans="1:5" ht="16.5" customHeight="1">
      <c r="A3" s="226"/>
      <c r="B3" s="44" t="s">
        <v>96</v>
      </c>
      <c r="C3" s="44">
        <v>2</v>
      </c>
      <c r="D3" s="47">
        <v>291</v>
      </c>
      <c r="E3" s="46">
        <f>D3/SUM(D2:D6)</f>
        <v>0.59631147540983609</v>
      </c>
    </row>
    <row r="4" spans="1:5" ht="16.5" customHeight="1">
      <c r="A4" s="226"/>
      <c r="B4" s="44" t="s">
        <v>97</v>
      </c>
      <c r="C4" s="44">
        <v>3</v>
      </c>
      <c r="D4" s="47">
        <v>6</v>
      </c>
      <c r="E4" s="46">
        <f>D4/SUM(D2:D6)</f>
        <v>1.2295081967213115E-2</v>
      </c>
    </row>
    <row r="5" spans="1:5" ht="16.5" customHeight="1">
      <c r="A5" s="227"/>
      <c r="B5" s="44" t="s">
        <v>98</v>
      </c>
      <c r="C5" s="44">
        <v>4</v>
      </c>
      <c r="D5" s="47">
        <v>91</v>
      </c>
      <c r="E5" s="46">
        <f>D5/SUM(D2:D6)</f>
        <v>0.18647540983606559</v>
      </c>
    </row>
    <row r="6" spans="1:5" ht="16.5" customHeight="1">
      <c r="A6" s="228"/>
      <c r="B6" s="44" t="s">
        <v>99</v>
      </c>
      <c r="C6" s="44">
        <v>5</v>
      </c>
      <c r="D6" s="47">
        <v>91</v>
      </c>
      <c r="E6" s="46">
        <f>D6/SUM(D2:D6)</f>
        <v>0.18647540983606559</v>
      </c>
    </row>
    <row r="7" spans="1:5" ht="16.5" customHeight="1">
      <c r="A7" s="225" t="s">
        <v>68</v>
      </c>
      <c r="B7" s="44" t="s">
        <v>95</v>
      </c>
      <c r="C7" s="44">
        <v>1</v>
      </c>
      <c r="D7" s="47">
        <v>1</v>
      </c>
      <c r="E7" s="46">
        <f>D7/SUM(D7:D11)</f>
        <v>4.2918454935622317E-3</v>
      </c>
    </row>
    <row r="8" spans="1:5" ht="16.5" customHeight="1">
      <c r="A8" s="226"/>
      <c r="B8" s="44" t="s">
        <v>96</v>
      </c>
      <c r="C8" s="44">
        <v>2</v>
      </c>
      <c r="D8" s="47">
        <v>141</v>
      </c>
      <c r="E8" s="46">
        <f>D8/SUM(D7:D11)</f>
        <v>0.60515021459227469</v>
      </c>
    </row>
    <row r="9" spans="1:5" ht="16.5" customHeight="1">
      <c r="A9" s="226"/>
      <c r="B9" s="44" t="s">
        <v>97</v>
      </c>
      <c r="C9" s="44">
        <v>3</v>
      </c>
      <c r="D9" s="47">
        <v>2</v>
      </c>
      <c r="E9" s="46">
        <f>D9/SUM(D7:D11)</f>
        <v>8.5836909871244635E-3</v>
      </c>
    </row>
    <row r="10" spans="1:5" ht="16.5" customHeight="1">
      <c r="A10" s="227"/>
      <c r="B10" s="44" t="s">
        <v>98</v>
      </c>
      <c r="C10" s="44">
        <v>4</v>
      </c>
      <c r="D10" s="47">
        <v>18</v>
      </c>
      <c r="E10" s="46">
        <f>D10/SUM(D7:D11)</f>
        <v>7.7253218884120178E-2</v>
      </c>
    </row>
    <row r="11" spans="1:5" ht="16.5" customHeight="1">
      <c r="A11" s="228"/>
      <c r="B11" s="44" t="s">
        <v>99</v>
      </c>
      <c r="C11" s="44">
        <v>5</v>
      </c>
      <c r="D11" s="47">
        <v>71</v>
      </c>
      <c r="E11" s="46">
        <f>D11/SUM(D7:D11)</f>
        <v>0.30472103004291845</v>
      </c>
    </row>
    <row r="12" spans="1:5" ht="16.5" customHeight="1">
      <c r="A12" s="225" t="s">
        <v>69</v>
      </c>
      <c r="B12" s="44" t="s">
        <v>95</v>
      </c>
      <c r="C12" s="44">
        <v>1</v>
      </c>
      <c r="D12" s="47">
        <v>3</v>
      </c>
      <c r="E12" s="46">
        <f>D12/SUM(D12:D16)</f>
        <v>8.8495575221238937E-3</v>
      </c>
    </row>
    <row r="13" spans="1:5" ht="16.5" customHeight="1">
      <c r="A13" s="226"/>
      <c r="B13" s="44" t="s">
        <v>96</v>
      </c>
      <c r="C13" s="44">
        <v>2</v>
      </c>
      <c r="D13" s="47">
        <v>127</v>
      </c>
      <c r="E13" s="46">
        <f>D13/SUM(D12:D16)</f>
        <v>0.37463126843657818</v>
      </c>
    </row>
    <row r="14" spans="1:5" ht="16.5" customHeight="1">
      <c r="A14" s="226"/>
      <c r="B14" s="44" t="s">
        <v>97</v>
      </c>
      <c r="C14" s="44">
        <v>3</v>
      </c>
      <c r="D14" s="47">
        <v>2</v>
      </c>
      <c r="E14" s="46">
        <f>D14/SUM(D12:D16)</f>
        <v>5.8997050147492625E-3</v>
      </c>
    </row>
    <row r="15" spans="1:5" ht="16.5" customHeight="1">
      <c r="A15" s="227"/>
      <c r="B15" s="44" t="s">
        <v>98</v>
      </c>
      <c r="C15" s="44">
        <v>4</v>
      </c>
      <c r="D15" s="47">
        <v>34</v>
      </c>
      <c r="E15" s="46">
        <f>D15/SUM(D12:D16)</f>
        <v>0.10029498525073746</v>
      </c>
    </row>
    <row r="16" spans="1:5" ht="16.5" customHeight="1">
      <c r="A16" s="228"/>
      <c r="B16" s="44" t="s">
        <v>99</v>
      </c>
      <c r="C16" s="44">
        <v>5</v>
      </c>
      <c r="D16" s="47">
        <v>173</v>
      </c>
      <c r="E16" s="46">
        <f>D16/SUM(D12:D16)</f>
        <v>0.51032448377581119</v>
      </c>
    </row>
    <row r="17" spans="1:5" ht="16.5" customHeight="1">
      <c r="A17" s="225" t="s">
        <v>70</v>
      </c>
      <c r="B17" s="44" t="s">
        <v>95</v>
      </c>
      <c r="C17" s="44">
        <v>1</v>
      </c>
      <c r="D17" s="47">
        <v>8</v>
      </c>
      <c r="E17" s="46">
        <f>D17/SUM(D17:D21)</f>
        <v>1.282051282051282E-2</v>
      </c>
    </row>
    <row r="18" spans="1:5" ht="16.5" customHeight="1">
      <c r="A18" s="226"/>
      <c r="B18" s="44" t="s">
        <v>96</v>
      </c>
      <c r="C18" s="44">
        <v>2</v>
      </c>
      <c r="D18" s="47">
        <v>344</v>
      </c>
      <c r="E18" s="46">
        <f>D18/SUM(D17:D21)</f>
        <v>0.55128205128205132</v>
      </c>
    </row>
    <row r="19" spans="1:5" ht="16.5" customHeight="1">
      <c r="A19" s="226"/>
      <c r="B19" s="44" t="s">
        <v>97</v>
      </c>
      <c r="C19" s="44">
        <v>3</v>
      </c>
      <c r="D19" s="47">
        <v>5</v>
      </c>
      <c r="E19" s="46">
        <f>D19/SUM(D17:D21)</f>
        <v>8.0128205128205121E-3</v>
      </c>
    </row>
    <row r="20" spans="1:5" ht="16.5" customHeight="1">
      <c r="A20" s="227"/>
      <c r="B20" s="44" t="s">
        <v>98</v>
      </c>
      <c r="C20" s="44">
        <v>4</v>
      </c>
      <c r="D20" s="47">
        <v>96</v>
      </c>
      <c r="E20" s="46">
        <f>D20/SUM(D17:D21)</f>
        <v>0.15384615384615385</v>
      </c>
    </row>
    <row r="21" spans="1:5" ht="16.5" customHeight="1">
      <c r="A21" s="228"/>
      <c r="B21" s="44" t="s">
        <v>99</v>
      </c>
      <c r="C21" s="44">
        <v>5</v>
      </c>
      <c r="D21" s="47">
        <v>171</v>
      </c>
      <c r="E21" s="46">
        <f>D21/SUM(D17:D21)</f>
        <v>0.27403846153846156</v>
      </c>
    </row>
    <row r="22" spans="1:5" ht="16.5" customHeight="1">
      <c r="A22" s="225" t="s">
        <v>71</v>
      </c>
      <c r="B22" s="44" t="s">
        <v>95</v>
      </c>
      <c r="C22" s="44">
        <v>1</v>
      </c>
      <c r="D22" s="47">
        <v>6</v>
      </c>
      <c r="E22" s="46">
        <f>D22/SUM(D22:D26)</f>
        <v>2.3622047244094488E-2</v>
      </c>
    </row>
    <row r="23" spans="1:5" ht="16.5" customHeight="1">
      <c r="A23" s="226"/>
      <c r="B23" s="44" t="s">
        <v>96</v>
      </c>
      <c r="C23" s="44">
        <v>2</v>
      </c>
      <c r="D23" s="47">
        <v>113</v>
      </c>
      <c r="E23" s="46">
        <f>D23/SUM(D22:D26)</f>
        <v>0.44488188976377951</v>
      </c>
    </row>
    <row r="24" spans="1:5" ht="16.5" customHeight="1">
      <c r="A24" s="226"/>
      <c r="B24" s="44" t="s">
        <v>97</v>
      </c>
      <c r="C24" s="44">
        <v>3</v>
      </c>
      <c r="D24" s="47">
        <v>6</v>
      </c>
      <c r="E24" s="46">
        <f>D24/SUM(D22:D26)</f>
        <v>2.3622047244094488E-2</v>
      </c>
    </row>
    <row r="25" spans="1:5" ht="16.5" customHeight="1">
      <c r="A25" s="226"/>
      <c r="B25" s="44" t="s">
        <v>98</v>
      </c>
      <c r="C25" s="44">
        <v>4</v>
      </c>
      <c r="D25" s="47">
        <v>38</v>
      </c>
      <c r="E25" s="46">
        <f>D25/SUM(D22:D26)</f>
        <v>0.14960629921259844</v>
      </c>
    </row>
    <row r="26" spans="1:5" ht="16.5" customHeight="1">
      <c r="A26" s="233"/>
      <c r="B26" s="44" t="s">
        <v>99</v>
      </c>
      <c r="C26" s="44">
        <v>5</v>
      </c>
      <c r="D26" s="47">
        <v>91</v>
      </c>
      <c r="E26" s="46">
        <f>D26/SUM(D22:D26)</f>
        <v>0.35826771653543305</v>
      </c>
    </row>
  </sheetData>
  <mergeCells count="5">
    <mergeCell ref="A17:A21"/>
    <mergeCell ref="A22:A26"/>
    <mergeCell ref="A2:A6"/>
    <mergeCell ref="A7:A11"/>
    <mergeCell ref="A12:A16"/>
  </mergeCells>
  <phoneticPr fontId="1" type="noConversion"/>
  <pageMargins left="0.75" right="0.75" top="1" bottom="1" header="0.5" footer="0.5"/>
  <pageSetup paperSize="9" firstPageNumber="0" fitToWidth="0" fitToHeight="0" orientation="portrait" horizontalDpi="300" verticalDpi="300" r:id="rId1"/>
  <headerFooter alignWithMargins="0"/>
  <ignoredErrors>
    <ignoredError sqref="E2:E26"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zoomScaleNormal="100" workbookViewId="0"/>
  </sheetViews>
  <sheetFormatPr defaultColWidth="9" defaultRowHeight="16.5" customHeight="1"/>
  <cols>
    <col min="1" max="16384" width="9" style="45"/>
  </cols>
  <sheetData>
    <row r="1" spans="1:5" ht="16.5" customHeight="1">
      <c r="A1" s="44" t="s">
        <v>4</v>
      </c>
      <c r="B1" s="44" t="s">
        <v>3</v>
      </c>
      <c r="C1" s="44" t="s">
        <v>2</v>
      </c>
      <c r="D1" s="44" t="s">
        <v>1</v>
      </c>
      <c r="E1" s="44" t="s">
        <v>0</v>
      </c>
    </row>
    <row r="2" spans="1:5" ht="16.5" customHeight="1">
      <c r="A2" s="225" t="s">
        <v>72</v>
      </c>
      <c r="B2" s="44" t="s">
        <v>95</v>
      </c>
      <c r="C2" s="44">
        <v>1</v>
      </c>
      <c r="D2" s="47">
        <v>0</v>
      </c>
      <c r="E2" s="46">
        <f>D2/SUM(D2:D6)</f>
        <v>0</v>
      </c>
    </row>
    <row r="3" spans="1:5" ht="16.5" customHeight="1">
      <c r="A3" s="226"/>
      <c r="B3" s="44" t="s">
        <v>96</v>
      </c>
      <c r="C3" s="44">
        <v>2</v>
      </c>
      <c r="D3" s="47">
        <v>1</v>
      </c>
      <c r="E3" s="46">
        <f>D3/SUM(D2:D6)</f>
        <v>7.6923076923076927E-2</v>
      </c>
    </row>
    <row r="4" spans="1:5" ht="16.5" customHeight="1">
      <c r="A4" s="226"/>
      <c r="B4" s="44" t="s">
        <v>97</v>
      </c>
      <c r="C4" s="44">
        <v>3</v>
      </c>
      <c r="D4" s="47">
        <v>0</v>
      </c>
      <c r="E4" s="46">
        <f>D4/SUM(D2:D6)</f>
        <v>0</v>
      </c>
    </row>
    <row r="5" spans="1:5" ht="16.5" customHeight="1">
      <c r="A5" s="227"/>
      <c r="B5" s="44" t="s">
        <v>98</v>
      </c>
      <c r="C5" s="44">
        <v>4</v>
      </c>
      <c r="D5" s="47">
        <v>3</v>
      </c>
      <c r="E5" s="46">
        <f>D5/SUM(D2:D6)</f>
        <v>0.23076923076923078</v>
      </c>
    </row>
    <row r="6" spans="1:5" ht="16.5" customHeight="1">
      <c r="A6" s="228"/>
      <c r="B6" s="44" t="s">
        <v>99</v>
      </c>
      <c r="C6" s="44">
        <v>5</v>
      </c>
      <c r="D6" s="47">
        <v>9</v>
      </c>
      <c r="E6" s="46">
        <f>D6/SUM(D2:D6)</f>
        <v>0.69230769230769229</v>
      </c>
    </row>
  </sheetData>
  <mergeCells count="1">
    <mergeCell ref="A2:A6"/>
  </mergeCells>
  <phoneticPr fontId="1" type="noConversion"/>
  <pageMargins left="0.75" right="0.75" top="1" bottom="1" header="0.5" footer="0.5"/>
  <pageSetup paperSize="9" firstPageNumber="0" fitToWidth="0" fitToHeight="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工作表1</vt:lpstr>
      <vt:lpstr>圖表數據</vt:lpstr>
      <vt:lpstr>比例色代碼</vt:lpstr>
      <vt:lpstr>金城鎮</vt:lpstr>
      <vt:lpstr>金寧鄉</vt:lpstr>
      <vt:lpstr>金沙鎮</vt:lpstr>
      <vt:lpstr>金湖鎮</vt:lpstr>
      <vt:lpstr>烈嶼鄉</vt:lpstr>
      <vt:lpstr>烏坵鄉</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Chihyang Hung</dc:creator>
  <cp:lastModifiedBy>USER</cp:lastModifiedBy>
  <cp:lastPrinted>2024-01-14T02:21:45Z</cp:lastPrinted>
  <dcterms:created xsi:type="dcterms:W3CDTF">2020-11-07T14:23:38Z</dcterms:created>
  <dcterms:modified xsi:type="dcterms:W3CDTF">2024-10-14T03:18:00Z</dcterms:modified>
</cp:coreProperties>
</file>