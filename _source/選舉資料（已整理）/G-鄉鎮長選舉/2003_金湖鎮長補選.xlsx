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G-鄉鎮長選舉\"/>
    </mc:Choice>
  </mc:AlternateContent>
  <bookViews>
    <workbookView xWindow="-108" yWindow="-108" windowWidth="23256" windowHeight="12576"/>
  </bookViews>
  <sheets>
    <sheet name="金湖鎮" sheetId="3" r:id="rId1"/>
  </sheets>
  <calcPr calcId="152511"/>
</workbook>
</file>

<file path=xl/calcChain.xml><?xml version="1.0" encoding="utf-8"?>
<calcChain xmlns="http://schemas.openxmlformats.org/spreadsheetml/2006/main">
  <c r="E9" i="3" l="1"/>
  <c r="E4" i="3"/>
  <c r="D9" i="3"/>
  <c r="D4" i="3"/>
  <c r="F4" i="3" s="1"/>
  <c r="C9" i="3"/>
  <c r="F9" i="3" s="1"/>
  <c r="C4" i="3"/>
  <c r="F11" i="3"/>
  <c r="F10" i="3"/>
  <c r="F8" i="3"/>
  <c r="F7" i="3"/>
  <c r="F6" i="3"/>
  <c r="F5" i="3"/>
</calcChain>
</file>

<file path=xl/sharedStrings.xml><?xml version="1.0" encoding="utf-8"?>
<sst xmlns="http://schemas.openxmlformats.org/spreadsheetml/2006/main" count="28" uniqueCount="21">
  <si>
    <t>選舉人數</t>
  </si>
  <si>
    <t>瓊林里</t>
  </si>
  <si>
    <t>金湖鎮</t>
  </si>
  <si>
    <t>正義里</t>
  </si>
  <si>
    <t>新湖里</t>
  </si>
  <si>
    <t>料羅里</t>
  </si>
  <si>
    <t>蓮庵里</t>
  </si>
  <si>
    <t>溪湖里</t>
  </si>
  <si>
    <t>山外里</t>
  </si>
  <si>
    <t>新市里</t>
  </si>
  <si>
    <t>有效票</t>
    <phoneticPr fontId="1" type="noConversion"/>
  </si>
  <si>
    <t>無效票</t>
    <phoneticPr fontId="1" type="noConversion"/>
  </si>
  <si>
    <t>中國國民黨</t>
    <phoneticPr fontId="1" type="noConversion"/>
  </si>
  <si>
    <t>李成義</t>
    <phoneticPr fontId="1" type="noConversion"/>
  </si>
  <si>
    <t>陳志強</t>
    <phoneticPr fontId="1" type="noConversion"/>
  </si>
  <si>
    <t>陳永財</t>
    <phoneticPr fontId="1" type="noConversion"/>
  </si>
  <si>
    <t>資料來源：https://www.kmdn.gov.tw/1117/1271/1272/114319/</t>
    <phoneticPr fontId="1" type="noConversion"/>
  </si>
  <si>
    <t>資料來源：https://www.kmdn.gov.tw/1117/1271/1272/114257/</t>
    <phoneticPr fontId="1" type="noConversion"/>
  </si>
  <si>
    <t>中國國民黨</t>
    <phoneticPr fontId="1" type="noConversion"/>
  </si>
  <si>
    <t>中國國民黨</t>
    <phoneticPr fontId="1" type="noConversion"/>
  </si>
  <si>
    <t>原始資料欠缺「無效票」數據，無法顯示正確投票率。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</si>
</sst>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top" textRotation="255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textRotation="255" wrapText="1"/>
    </xf>
    <xf numFmtId="0" fontId="2" fillId="0" borderId="2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 wrapText="1"/>
    </xf>
    <xf numFmtId="31" fontId="2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workbookViewId="0"/>
  </sheetViews>
  <sheetFormatPr defaultColWidth="12.77734375" defaultRowHeight="15" customHeight="1"/>
  <cols>
    <col min="1" max="1" width="12.77734375" style="1"/>
    <col min="2" max="2" width="12.77734375" style="1" customWidth="1"/>
    <col min="3" max="3" width="13" style="1" bestFit="1" customWidth="1"/>
    <col min="4" max="5" width="13" style="1" customWidth="1"/>
    <col min="6" max="8" width="13" style="1" bestFit="1" customWidth="1"/>
    <col min="9" max="16384" width="12.77734375" style="1"/>
  </cols>
  <sheetData>
    <row r="1" spans="1:16" ht="15" customHeight="1">
      <c r="A1" s="3" t="s">
        <v>20</v>
      </c>
      <c r="B1" s="8">
        <v>37800</v>
      </c>
      <c r="C1" s="4">
        <v>1</v>
      </c>
      <c r="D1" s="4">
        <v>2</v>
      </c>
      <c r="E1" s="4">
        <v>3</v>
      </c>
      <c r="F1" s="4"/>
      <c r="G1" s="4"/>
      <c r="H1" s="4"/>
    </row>
    <row r="2" spans="1:16" s="2" customFormat="1" ht="15" customHeight="1">
      <c r="A2" s="3"/>
      <c r="B2" s="3"/>
      <c r="C2" s="4" t="s">
        <v>13</v>
      </c>
      <c r="D2" s="4" t="s">
        <v>14</v>
      </c>
      <c r="E2" s="4" t="s">
        <v>15</v>
      </c>
      <c r="F2" s="5"/>
      <c r="G2" s="5"/>
      <c r="H2" s="5"/>
    </row>
    <row r="3" spans="1:16" s="2" customFormat="1" ht="15" customHeight="1">
      <c r="A3" s="3"/>
      <c r="B3" s="3"/>
      <c r="C3" s="4" t="s">
        <v>12</v>
      </c>
      <c r="D3" s="4" t="s">
        <v>18</v>
      </c>
      <c r="E3" s="4" t="s">
        <v>19</v>
      </c>
      <c r="F3" s="4" t="s">
        <v>10</v>
      </c>
      <c r="G3" s="4" t="s">
        <v>11</v>
      </c>
      <c r="H3" s="4" t="s">
        <v>0</v>
      </c>
    </row>
    <row r="4" spans="1:16" ht="15" customHeight="1">
      <c r="A4" s="4" t="s">
        <v>2</v>
      </c>
      <c r="B4" s="4" t="s">
        <v>9</v>
      </c>
      <c r="C4" s="6">
        <f>225+227</f>
        <v>452</v>
      </c>
      <c r="D4" s="6">
        <f>106+148</f>
        <v>254</v>
      </c>
      <c r="E4" s="6">
        <f>133+119</f>
        <v>252</v>
      </c>
      <c r="F4" s="7">
        <f>SUM(C4:E4)</f>
        <v>958</v>
      </c>
      <c r="G4" s="7"/>
      <c r="H4" s="7">
        <v>2000</v>
      </c>
    </row>
    <row r="5" spans="1:16" ht="15" customHeight="1">
      <c r="A5" s="4" t="s">
        <v>2</v>
      </c>
      <c r="B5" s="4" t="s">
        <v>8</v>
      </c>
      <c r="C5" s="6">
        <v>249</v>
      </c>
      <c r="D5" s="6">
        <v>175</v>
      </c>
      <c r="E5" s="6">
        <v>188</v>
      </c>
      <c r="F5" s="7">
        <f t="shared" ref="F5:F11" si="0">SUM(C5:E5)</f>
        <v>612</v>
      </c>
      <c r="G5" s="7"/>
      <c r="H5" s="7">
        <v>1451</v>
      </c>
    </row>
    <row r="6" spans="1:16" ht="15" customHeight="1">
      <c r="A6" s="4" t="s">
        <v>2</v>
      </c>
      <c r="B6" s="4" t="s">
        <v>3</v>
      </c>
      <c r="C6" s="6">
        <v>101</v>
      </c>
      <c r="D6" s="6">
        <v>100</v>
      </c>
      <c r="E6" s="6">
        <v>287</v>
      </c>
      <c r="F6" s="7">
        <f t="shared" si="0"/>
        <v>488</v>
      </c>
      <c r="G6" s="7"/>
      <c r="H6" s="7">
        <v>928</v>
      </c>
    </row>
    <row r="7" spans="1:16" ht="15" customHeight="1">
      <c r="A7" s="4" t="s">
        <v>2</v>
      </c>
      <c r="B7" s="4" t="s">
        <v>5</v>
      </c>
      <c r="C7" s="6">
        <v>131</v>
      </c>
      <c r="D7" s="6">
        <v>118</v>
      </c>
      <c r="E7" s="6">
        <v>91</v>
      </c>
      <c r="F7" s="7">
        <f t="shared" si="0"/>
        <v>340</v>
      </c>
      <c r="G7" s="7"/>
      <c r="H7" s="7">
        <v>672</v>
      </c>
    </row>
    <row r="8" spans="1:16" ht="15" customHeight="1">
      <c r="A8" s="4" t="s">
        <v>2</v>
      </c>
      <c r="B8" s="4" t="s">
        <v>1</v>
      </c>
      <c r="C8" s="6">
        <v>199</v>
      </c>
      <c r="D8" s="6">
        <v>101</v>
      </c>
      <c r="E8" s="6">
        <v>215</v>
      </c>
      <c r="F8" s="7">
        <f t="shared" si="0"/>
        <v>515</v>
      </c>
      <c r="G8" s="7"/>
      <c r="H8" s="7">
        <v>1267</v>
      </c>
    </row>
    <row r="9" spans="1:16" ht="15" customHeight="1">
      <c r="A9" s="4" t="s">
        <v>2</v>
      </c>
      <c r="B9" s="4" t="s">
        <v>4</v>
      </c>
      <c r="C9" s="6">
        <f>111+196</f>
        <v>307</v>
      </c>
      <c r="D9" s="6">
        <f>172+127</f>
        <v>299</v>
      </c>
      <c r="E9" s="6">
        <f>74+119</f>
        <v>193</v>
      </c>
      <c r="F9" s="7">
        <f t="shared" si="0"/>
        <v>799</v>
      </c>
      <c r="G9" s="7"/>
      <c r="H9" s="7">
        <v>1786</v>
      </c>
    </row>
    <row r="10" spans="1:16" ht="15" customHeight="1">
      <c r="A10" s="4" t="s">
        <v>2</v>
      </c>
      <c r="B10" s="4" t="s">
        <v>7</v>
      </c>
      <c r="C10" s="6">
        <v>122</v>
      </c>
      <c r="D10" s="6">
        <v>95</v>
      </c>
      <c r="E10" s="6">
        <v>84</v>
      </c>
      <c r="F10" s="7">
        <f t="shared" si="0"/>
        <v>301</v>
      </c>
      <c r="G10" s="7"/>
      <c r="H10" s="7">
        <v>621</v>
      </c>
    </row>
    <row r="11" spans="1:16" ht="15" customHeight="1">
      <c r="A11" s="4" t="s">
        <v>2</v>
      </c>
      <c r="B11" s="4" t="s">
        <v>6</v>
      </c>
      <c r="C11" s="6">
        <v>106</v>
      </c>
      <c r="D11" s="6">
        <v>104</v>
      </c>
      <c r="E11" s="6">
        <v>93</v>
      </c>
      <c r="F11" s="7">
        <f t="shared" si="0"/>
        <v>303</v>
      </c>
      <c r="G11" s="7"/>
      <c r="H11" s="7">
        <v>617</v>
      </c>
    </row>
    <row r="12" spans="1:16" ht="15" customHeight="1">
      <c r="A12" s="1" t="s">
        <v>16</v>
      </c>
    </row>
    <row r="13" spans="1:16" ht="15" customHeight="1">
      <c r="A13" s="1" t="s">
        <v>17</v>
      </c>
    </row>
    <row r="14" spans="1:16" ht="15" customHeight="1">
      <c r="J14" s="2"/>
      <c r="K14" s="2"/>
      <c r="L14" s="2"/>
      <c r="M14" s="2"/>
      <c r="N14" s="2"/>
      <c r="O14" s="2"/>
      <c r="P14" s="2"/>
    </row>
    <row r="15" spans="1:16" ht="15" customHeight="1">
      <c r="J15" s="2"/>
      <c r="K15" s="2"/>
      <c r="L15" s="2"/>
      <c r="M15" s="2"/>
      <c r="N15" s="2"/>
      <c r="O15" s="2"/>
      <c r="P15" s="2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金湖鎮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USER</cp:lastModifiedBy>
  <dcterms:created xsi:type="dcterms:W3CDTF">2025-12-17T16:12:21Z</dcterms:created>
  <dcterms:modified xsi:type="dcterms:W3CDTF">2026-01-14T02:19:16Z</dcterms:modified>
</cp:coreProperties>
</file>